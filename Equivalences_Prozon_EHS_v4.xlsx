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54309C1D-A84F-4D61-864C-34922A3581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quivalences Prozon-EHS" sheetId="1" r:id="rId1"/>
    <sheet name="Combinais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8" i="1" l="1"/>
  <c r="F326" i="1"/>
  <c r="F324" i="1"/>
  <c r="F115" i="1"/>
  <c r="F70" i="1"/>
  <c r="F65" i="1"/>
  <c r="F64" i="1"/>
  <c r="F62" i="1"/>
  <c r="F59" i="1"/>
  <c r="F56" i="1"/>
  <c r="F55" i="1"/>
  <c r="F54" i="1"/>
  <c r="F53" i="1"/>
  <c r="F52" i="1"/>
  <c r="F51" i="1"/>
  <c r="F50" i="1"/>
  <c r="F49" i="1"/>
  <c r="F48" i="1"/>
  <c r="F47" i="1"/>
  <c r="F44" i="1"/>
  <c r="F46" i="1" s="1"/>
  <c r="F45" i="1"/>
  <c r="F43" i="1"/>
  <c r="F42" i="1"/>
  <c r="F41" i="1"/>
  <c r="F40" i="1"/>
  <c r="F39" i="1"/>
</calcChain>
</file>

<file path=xl/sharedStrings.xml><?xml version="1.0" encoding="utf-8"?>
<sst xmlns="http://schemas.openxmlformats.org/spreadsheetml/2006/main" count="1749" uniqueCount="875">
  <si>
    <t>Référence Prozon</t>
  </si>
  <si>
    <t>Description Prozon</t>
  </si>
  <si>
    <t>Référence EHS 1</t>
  </si>
  <si>
    <t>Référence EHS 2</t>
  </si>
  <si>
    <t>Combinaison</t>
  </si>
  <si>
    <t>01258-14388</t>
  </si>
  <si>
    <t>Cône de signalisation autoroute lesté 75 cm K5a:Orange - Non</t>
  </si>
  <si>
    <t>Autoroute ORANGE</t>
  </si>
  <si>
    <t>Non</t>
  </si>
  <si>
    <t>01258-14389</t>
  </si>
  <si>
    <t>Cône de signalisation autoroute lesté 75 cm K5a:Noire - Non</t>
  </si>
  <si>
    <t>Autoroute NOIR</t>
  </si>
  <si>
    <t>01239-14567</t>
  </si>
  <si>
    <t>Cône de chantier 50 cm lesté K5a:Orange - Classe 1 (T1) - Non</t>
  </si>
  <si>
    <t>REVO 22 ORANGE R1</t>
  </si>
  <si>
    <t>01239-14568</t>
  </si>
  <si>
    <t>Cône de chantier 50 cm lesté K5a:Orange - Classe 2 (HIP) - Non</t>
  </si>
  <si>
    <t>REVO 22 ORANGE R2</t>
  </si>
  <si>
    <t>01239-14569</t>
  </si>
  <si>
    <t>Cône de chantier 50 cm lesté K5a:Orange - Non rétroréfléchissant - Non</t>
  </si>
  <si>
    <t>REVO 22 ORANGE NR</t>
  </si>
  <si>
    <t>01239-14570</t>
  </si>
  <si>
    <t>Cône de chantier 50 cm lesté K5a:Classe 1 (T1) - Jaune - Non</t>
  </si>
  <si>
    <t>REVO 22 JAUNE R1</t>
  </si>
  <si>
    <t>01239-14571</t>
  </si>
  <si>
    <t>Cône de chantier 50 cm lesté K5a:Classe 2 (HIP) - Jaune - Non</t>
  </si>
  <si>
    <t>REVO 22 JAUNE R2</t>
  </si>
  <si>
    <t>01239-14572</t>
  </si>
  <si>
    <t>Cône de chantier 50 cm lesté K5a:Jaune - Non rétroréfléchissant - Non</t>
  </si>
  <si>
    <t>REVO 22 JAUNE NR</t>
  </si>
  <si>
    <t>01239-14573</t>
  </si>
  <si>
    <t>Cône de chantier 50 cm lesté K5a:Classe 1 (T1) - Bleu - Non</t>
  </si>
  <si>
    <t>REVO 22 BLEU R1</t>
  </si>
  <si>
    <t>01239-14574</t>
  </si>
  <si>
    <t>Cône de chantier 50 cm lesté K5a:Classe 2 (HIP) - Bleu - Non</t>
  </si>
  <si>
    <t>REVO 22 BLEU R2</t>
  </si>
  <si>
    <t>01239-14575</t>
  </si>
  <si>
    <t>Cône de chantier 50 cm lesté K5a:Bleu - Non rétroréfléchissant - Non</t>
  </si>
  <si>
    <t>REVO 22 BLEU NR</t>
  </si>
  <si>
    <t>01239-14576</t>
  </si>
  <si>
    <t>Cône de chantier 50 cm lesté K5a:Classe 1 (T1) - Vert - Non</t>
  </si>
  <si>
    <t>REVO 22 VERT R1</t>
  </si>
  <si>
    <t>01239-14577</t>
  </si>
  <si>
    <t>Cône de chantier 50 cm lesté K5a:Classe 2 (HIP) - Vert - Non</t>
  </si>
  <si>
    <t>REVO 22 VERT R2</t>
  </si>
  <si>
    <t>01239-14578</t>
  </si>
  <si>
    <t>Cône de chantier 50 cm lesté K5a:Vert - Non rétroréfléchissant - Non</t>
  </si>
  <si>
    <t>REVO 22 VERT NR</t>
  </si>
  <si>
    <t>01277-14588</t>
  </si>
  <si>
    <t>Cône de signalisation 75 cm lesté:Orange - Classe 1 (T1) - 3,2 kg - Non</t>
  </si>
  <si>
    <t>REVO 32 ORANGE R1</t>
  </si>
  <si>
    <t>01277-14589</t>
  </si>
  <si>
    <t>Cône de signalisation 75 cm lesté:Orange - Classe 2 (HIP) - 3,2 kg - Non</t>
  </si>
  <si>
    <t>REVO 32 ORANGE R2</t>
  </si>
  <si>
    <t>01277-14596</t>
  </si>
  <si>
    <t>Cône de signalisation 75 cm lesté:Orange - Classe 1 (T1) - 4,2 kg - Non</t>
  </si>
  <si>
    <t>REVO 42 ORANGE R1</t>
  </si>
  <si>
    <t>01277-14597</t>
  </si>
  <si>
    <t>Cône de signalisation 75 cm lesté:Orange - Classe 2 (HIP) - 4,2 kg - Non</t>
  </si>
  <si>
    <t>REVO 42 ORANGE R2</t>
  </si>
  <si>
    <t>01277-14598</t>
  </si>
  <si>
    <t>Cône de signalisation 75 cm lesté:Classe 1 (T1) - Jaune - 4,2 kg - Non</t>
  </si>
  <si>
    <t>REVO 42 JAUNE R1</t>
  </si>
  <si>
    <t>01277-14599</t>
  </si>
  <si>
    <t>Cône de signalisation 75 cm lesté:Classe 2 (HIP) - Jaune - 4,2 kg - Non</t>
  </si>
  <si>
    <t>REVO 42 JAUNE R2</t>
  </si>
  <si>
    <t>01277-14600</t>
  </si>
  <si>
    <t>Cône de signalisation 75 cm lesté:Classe 1 (T1) - Bleu - 4,2 kg - Non</t>
  </si>
  <si>
    <t>REVO 42 BLEU R1</t>
  </si>
  <si>
    <t>01277-14601</t>
  </si>
  <si>
    <t>Cône de signalisation 75 cm lesté:Classe 2 (HIP) - Bleu - 4,2 kg - Non</t>
  </si>
  <si>
    <t>REVO 42 BLEU R2</t>
  </si>
  <si>
    <t>01277-14602</t>
  </si>
  <si>
    <t>Cône de signalisation 75 cm lesté:Classe 1 (T1) - Vert - 4,2 kg - Non</t>
  </si>
  <si>
    <t>REVO 42 VERT R1</t>
  </si>
  <si>
    <t>01277-14603</t>
  </si>
  <si>
    <t>Cône de signalisation 75 cm lesté:Classe 2 (HIP) - Vert - 4,2 kg - Non</t>
  </si>
  <si>
    <t>REVO 42 VERT R2</t>
  </si>
  <si>
    <t>01277-14604</t>
  </si>
  <si>
    <t>Cône de signalisation 75 cm lesté:Orange - Classe 1 (T1) - 5,2 kg - Non</t>
  </si>
  <si>
    <t>REVO 52 ORANGE R1</t>
  </si>
  <si>
    <t>01277-14605</t>
  </si>
  <si>
    <t>Cône de signalisation 75 cm lesté:Orange - Classe 2 (HIP) - 5,2 kg - Non</t>
  </si>
  <si>
    <t>REVO 52 ORANGE R2</t>
  </si>
  <si>
    <t>01277-14612</t>
  </si>
  <si>
    <t>Cône de signalisation 75 cm lesté:Orange - Non rétroréfléchissant - 3,2 kg - Non</t>
  </si>
  <si>
    <t>REVO 32 ORANGE NR</t>
  </si>
  <si>
    <t>02085-23220</t>
  </si>
  <si>
    <t>Enrouleur de Sangle pour Cône de Chantier:3 mètres - Jaune / Noir</t>
  </si>
  <si>
    <t>DerouleurNJ3</t>
  </si>
  <si>
    <t>02085-23221</t>
  </si>
  <si>
    <t>Enrouleur de Sangle pour Cône de Chantier:3 mètres - Rouge / Blanc</t>
  </si>
  <si>
    <t>DerouleurRB3</t>
  </si>
  <si>
    <t>02085-23222</t>
  </si>
  <si>
    <t>Enrouleur de Sangle pour Cône de Chantier:5 mètres - Jaune / Noir</t>
  </si>
  <si>
    <t>DerouleurNJ5</t>
  </si>
  <si>
    <t>02085-23223</t>
  </si>
  <si>
    <t>Enrouleur de Sangle pour Cône de Chantier:5 mètres - Rouge / Blanc</t>
  </si>
  <si>
    <t>DerouleurRB6</t>
  </si>
  <si>
    <t>02085-23225</t>
  </si>
  <si>
    <t>Enrouleur de Sangle pour Cône de Chantier:9 mètres - Rouge / Blanc</t>
  </si>
  <si>
    <t>DerouleurRB9</t>
  </si>
  <si>
    <t>01284-40129</t>
  </si>
  <si>
    <t>Lampe de chantier pour cône le plus visible du marché:Sans adapteur</t>
  </si>
  <si>
    <t>SF-B</t>
  </si>
  <si>
    <t>01284-40130</t>
  </si>
  <si>
    <t>Lampe de chantier pour cône le plus visible du marché:Avec adaptateur</t>
  </si>
  <si>
    <t>SF-cone</t>
  </si>
  <si>
    <t>02284-40173</t>
  </si>
  <si>
    <t>Lampe séquentielle à led:Set de 10 lampes</t>
  </si>
  <si>
    <t>ICS10</t>
  </si>
  <si>
    <t>02284-40174</t>
  </si>
  <si>
    <t>Lampe séquentielle à led:Set de 6 lampes</t>
  </si>
  <si>
    <t>ICS6</t>
  </si>
  <si>
    <t>02284-40175</t>
  </si>
  <si>
    <t>Lampe séquentielle à led:Set de 4 lampes</t>
  </si>
  <si>
    <t>ICS4</t>
  </si>
  <si>
    <t>01277-40383</t>
  </si>
  <si>
    <t>Cône de signalisation 75 cm lesté:Orange - Classe 1 (T1) - 3,2 kg - Oui</t>
  </si>
  <si>
    <t>REVO 32 R1</t>
  </si>
  <si>
    <t>Marquage sérigraphie</t>
  </si>
  <si>
    <t>Oui</t>
  </si>
  <si>
    <t>01277-40384</t>
  </si>
  <si>
    <t>Cône de signalisation 75 cm lesté:Orange - Classe 2 (HIP) - 3,2 kg - Oui</t>
  </si>
  <si>
    <t>REVO 32 R2</t>
  </si>
  <si>
    <t>01277-40385</t>
  </si>
  <si>
    <t>Cône de signalisation 75 cm lesté:Orange - Classe 1 (T1) - 4,2 kg - Oui</t>
  </si>
  <si>
    <t>REVO 42 R1</t>
  </si>
  <si>
    <t>01277-40386</t>
  </si>
  <si>
    <t>Cône de signalisation 75 cm lesté:Orange - Classe 2 (HIP) - 4,2 kg - Oui</t>
  </si>
  <si>
    <t>REVO 42 R2</t>
  </si>
  <si>
    <t>01277-40387</t>
  </si>
  <si>
    <t>Cône de signalisation 75 cm lesté:Classe 1 (T1) - Jaune - 4,2 kg - Oui</t>
  </si>
  <si>
    <t>01277-40388</t>
  </si>
  <si>
    <t>Cône de signalisation 75 cm lesté:Classe 2 (HIP) - Jaune - 4,2 kg - Oui</t>
  </si>
  <si>
    <t>01277-40389</t>
  </si>
  <si>
    <t>Cône de signalisation 75 cm lesté:Classe 1 (T1) - Bleu - 4,2 kg - Oui</t>
  </si>
  <si>
    <t>REVO 42 bleu R1</t>
  </si>
  <si>
    <t>01277-40390</t>
  </si>
  <si>
    <t>Cône de signalisation 75 cm lesté:Classe 2 (HIP) - Bleu - 4,2 kg - Oui</t>
  </si>
  <si>
    <t>REVO 42 bleu R2</t>
  </si>
  <si>
    <t>01277-40391</t>
  </si>
  <si>
    <t>Cône de signalisation 75 cm lesté:Classe 1 (T1) - Vert - 4,2 kg - Oui</t>
  </si>
  <si>
    <t>01277-40392</t>
  </si>
  <si>
    <t>Cône de signalisation 75 cm lesté:Classe 2 (HIP) - Vert - 4,2 kg - Oui</t>
  </si>
  <si>
    <t>01277-40393</t>
  </si>
  <si>
    <t>Cône de signalisation 75 cm lesté:Orange - Classe 1 (T1) - 5,2 kg - Oui</t>
  </si>
  <si>
    <t>REVO 52 R1</t>
  </si>
  <si>
    <t>01277-40394</t>
  </si>
  <si>
    <t>Cône de signalisation 75 cm lesté:Orange - Classe 2 (HIP) - 5,2 kg - Oui</t>
  </si>
  <si>
    <t>REVO 52 R2</t>
  </si>
  <si>
    <t>01277-40395</t>
  </si>
  <si>
    <t>Cône de signalisation 75 cm lesté:Orange - Non rétroréfléchissant - 3,2 kg - Oui</t>
  </si>
  <si>
    <t>REVO 32 NR</t>
  </si>
  <si>
    <t>01239-40396</t>
  </si>
  <si>
    <t>Cône de chantier 50 cm lesté K5a:Orange - Classe 1 (T1) - Oui</t>
  </si>
  <si>
    <t>REVO 22 R1</t>
  </si>
  <si>
    <t>01239-40397</t>
  </si>
  <si>
    <t>Cône de chantier 50 cm lesté K5a:Orange - Classe 2 (HIP) - Oui</t>
  </si>
  <si>
    <t>REVO 22 R2</t>
  </si>
  <si>
    <t>01239-40398</t>
  </si>
  <si>
    <t>Cône de chantier 50 cm lesté K5a:Orange - Non rétroréfléchissant - Oui</t>
  </si>
  <si>
    <t>REVO 22 NR</t>
  </si>
  <si>
    <t>01239-40399</t>
  </si>
  <si>
    <t>Cône de chantier 50 cm lesté K5a:Classe 1 (T1) - Jaune - Oui</t>
  </si>
  <si>
    <t>REVO 22 jaune R1</t>
  </si>
  <si>
    <t>01239-40400</t>
  </si>
  <si>
    <t>Cône de chantier 50 cm lesté K5a:Classe 2 (HIP) - Jaune - Oui</t>
  </si>
  <si>
    <t>REVO 22 jaune R2</t>
  </si>
  <si>
    <t>01239-40401</t>
  </si>
  <si>
    <t>Cône de chantier 50 cm lesté K5a:Jaune - Non rétroréfléchissant - Oui</t>
  </si>
  <si>
    <t>REVO 22 jaune sans bande</t>
  </si>
  <si>
    <t>01239-40402</t>
  </si>
  <si>
    <t>Cône de chantier 50 cm lesté K5a:Classe 1 (T1) - Bleu - Oui</t>
  </si>
  <si>
    <t>REVO 22 bleu sans bande</t>
  </si>
  <si>
    <t>01239-40403</t>
  </si>
  <si>
    <t>Cône de chantier 50 cm lesté K5a:Classe 2 (HIP) - Bleu - Oui</t>
  </si>
  <si>
    <t>REVO 22 bleu R2</t>
  </si>
  <si>
    <t>01239-40404</t>
  </si>
  <si>
    <t>Cône de chantier 50 cm lesté K5a:Bleu - Non rétroréfléchissant - Oui</t>
  </si>
  <si>
    <t>01239-40405</t>
  </si>
  <si>
    <t>Cône de chantier 50 cm lesté K5a:Classe 1 (T1) - Vert - Oui</t>
  </si>
  <si>
    <t>REVO 22 vert sans bande</t>
  </si>
  <si>
    <t>01239-40406</t>
  </si>
  <si>
    <t>Cône de chantier 50 cm lesté K5a:Classe 2 (HIP) - Vert - Oui</t>
  </si>
  <si>
    <t>REVO 22 vert R2</t>
  </si>
  <si>
    <t>01239-40407</t>
  </si>
  <si>
    <t>Cône de chantier 50 cm lesté K5a:Vert - Non rétroréfléchissant - Oui</t>
  </si>
  <si>
    <t>01244-40539</t>
  </si>
  <si>
    <t>Cône de signalisation 50 cm non lesté K5a:Classe 1 (T1) - Oui</t>
  </si>
  <si>
    <t>REVO 11 R1</t>
  </si>
  <si>
    <t>01244-40540</t>
  </si>
  <si>
    <t>Cône de signalisation 50 cm non lesté K5a:Non rétroréfléchissant - Oui</t>
  </si>
  <si>
    <t>REVO 11 NR</t>
  </si>
  <si>
    <t>01244-40541</t>
  </si>
  <si>
    <t>Cône de signalisation 50 cm non lesté K5a:Classe 1 (T1) - Non</t>
  </si>
  <si>
    <t>01244-40542</t>
  </si>
  <si>
    <t>Cône de signalisation 50 cm non lesté K5a:Non rétroréfléchissant - Non</t>
  </si>
  <si>
    <t>01258-40552</t>
  </si>
  <si>
    <t>Cône de signalisation autoroute lesté 75 cm K5a:Orange - Oui</t>
  </si>
  <si>
    <t>AUTOROUTE ORANGE sans bande</t>
  </si>
  <si>
    <t>01258-40553</t>
  </si>
  <si>
    <t>Cône de signalisation autoroute lesté 75 cm K5a:Noire - Oui</t>
  </si>
  <si>
    <t>AUTOROUTE NOIR sans bande</t>
  </si>
  <si>
    <t>01247-40554</t>
  </si>
  <si>
    <t>Cône de signalisation 30 cm lesté K5a:Oui</t>
  </si>
  <si>
    <t>REVO 08 R2</t>
  </si>
  <si>
    <t>01247-40555</t>
  </si>
  <si>
    <t>Cône de signalisation 30 cm lesté K5a:Non</t>
  </si>
  <si>
    <t>01265-40556</t>
  </si>
  <si>
    <t>Cône de signalisation 30 cm lesté sans bande K5a:Oui</t>
  </si>
  <si>
    <t>REVO 08 sans bande</t>
  </si>
  <si>
    <t>01265-40557</t>
  </si>
  <si>
    <t>Cône de signalisation 30 cm lesté sans bande K5a:Non</t>
  </si>
  <si>
    <t>REVO 08</t>
  </si>
  <si>
    <t>02755-91116</t>
  </si>
  <si>
    <t>Panneau à clipser sur cône : Ralentir:Blanc</t>
  </si>
  <si>
    <t>CLIP SIGN simple-B Ralentir</t>
  </si>
  <si>
    <t>02755-91117</t>
  </si>
  <si>
    <t>Panneau à clipser sur cône : Ralentir:Orange</t>
  </si>
  <si>
    <t>CLIP SIGN simple-O Ralentir</t>
  </si>
  <si>
    <t>02755-91118</t>
  </si>
  <si>
    <t>Panneau à clipser sur cône : Ralentir:Jaune</t>
  </si>
  <si>
    <t>CLIP SIGN simple-J Ralentir</t>
  </si>
  <si>
    <t>02756-91119</t>
  </si>
  <si>
    <t>Panneau à clipser Danger Travaux:Blanc</t>
  </si>
  <si>
    <t>CLIP SIGN simple-B DangerTravaux</t>
  </si>
  <si>
    <t>02756-91120</t>
  </si>
  <si>
    <t>Panneau à clipser Danger Travaux:Orange</t>
  </si>
  <si>
    <t>CLIP SIGN simple-O DangerTravaux</t>
  </si>
  <si>
    <t>02756-91121</t>
  </si>
  <si>
    <t>Panneau à clipser Danger Travaux:Jaune</t>
  </si>
  <si>
    <t>CLIP SIGN simple-J DangerTravaux</t>
  </si>
  <si>
    <t>02757-91222</t>
  </si>
  <si>
    <t>Panneau de signalisation à clipser Port du masque obligatoire: Blanc</t>
  </si>
  <si>
    <t>CLIP SIGN simple-B Masque</t>
  </si>
  <si>
    <t>02757-91223</t>
  </si>
  <si>
    <t>Panneau de signalisation à clipser Port du masque obligatoire: Orange</t>
  </si>
  <si>
    <t>CLIP SIGN simple-O Masque</t>
  </si>
  <si>
    <t>02757-91224</t>
  </si>
  <si>
    <t>Panneau de signalisation à clipser Port du masque obligatoire: Jaune</t>
  </si>
  <si>
    <t>CLIP SIGN simple-J Masque</t>
  </si>
  <si>
    <t>02760-91125</t>
  </si>
  <si>
    <t>Panneau à clipser sur cône : Stationnement Interdit:Orange</t>
  </si>
  <si>
    <t>CLIP SIGN simple Orange (Image panneau Interdit de stationner)</t>
  </si>
  <si>
    <t>02760-91126</t>
  </si>
  <si>
    <t>Panneau à clipser sur cône : Stationnement Interdit:Jaune</t>
  </si>
  <si>
    <t>CLIP SIGN simple Jaune (Image panneau Interdit de stationner)</t>
  </si>
  <si>
    <t>02760-91127</t>
  </si>
  <si>
    <t>Panneau à clipser sur cône : Stationnement Interdit:Blanc</t>
  </si>
  <si>
    <t>CLIP SIGN simple Blanc (Image panneau Interdit de stationner)</t>
  </si>
  <si>
    <t>02761-91128</t>
  </si>
  <si>
    <t>Panneau de signalisation à clipser logo PMR:Orange</t>
  </si>
  <si>
    <t>CLIP SIGN simple-O Logo PMR</t>
  </si>
  <si>
    <t>02761-91129</t>
  </si>
  <si>
    <t>Panneau de signalisation à clipser logo PMR:Jaune</t>
  </si>
  <si>
    <t>CLIP SIGN simple-J Logo PMR</t>
  </si>
  <si>
    <t>02761-91130</t>
  </si>
  <si>
    <t>Panneau de signalisation à clipser logo PMR:Blanc</t>
  </si>
  <si>
    <t>CLIP SIGN simple-B Logo PMR</t>
  </si>
  <si>
    <t>02762-91131</t>
  </si>
  <si>
    <t>Panneau à clipser sur cône - Piétons Passez en Face:Orange</t>
  </si>
  <si>
    <t>CLIP SIGN simple-O PiétonsEnFace</t>
  </si>
  <si>
    <t>02762-91132</t>
  </si>
  <si>
    <t>Panneau à clipser sur cône - Piétons Passez en Face:Jaune</t>
  </si>
  <si>
    <t>CLIP SIGN simple-J PiétonsEnFace</t>
  </si>
  <si>
    <t>02762-91133</t>
  </si>
  <si>
    <t>Panneau à clipser sur cône - Piétons Passez en Face:Blanc</t>
  </si>
  <si>
    <t>CLIP SIGN simple-B PiétonsEnFace</t>
  </si>
  <si>
    <t>02763-91134</t>
  </si>
  <si>
    <t>Panneau de signalisation à clipser : Sol Mouillé:Orange</t>
  </si>
  <si>
    <t>CLIP SIGN simple-O Sol Mouillé</t>
  </si>
  <si>
    <t>02763-91135</t>
  </si>
  <si>
    <t>Panneau de signalisation à clipser : Sol Mouillé:Jaune</t>
  </si>
  <si>
    <t>CLIP SIGN simple-J Sol Mouillé</t>
  </si>
  <si>
    <t>02763-91136</t>
  </si>
  <si>
    <t>Panneau de signalisation à clipser : Sol Mouillé:Blanc</t>
  </si>
  <si>
    <t>CLIP SIGN simple-B Sol Mouillé</t>
  </si>
  <si>
    <t>02764-91137</t>
  </si>
  <si>
    <t>Panneau de signalisation à clipser : Attention:Orange - Logo</t>
  </si>
  <si>
    <t>CLIP SIGN simple-O AttentLogo</t>
  </si>
  <si>
    <t>02764-91138</t>
  </si>
  <si>
    <t>Panneau de signalisation à clipser : Attention:Jaune - Logo</t>
  </si>
  <si>
    <t>CLIP SIGN simple-J AttentLogo</t>
  </si>
  <si>
    <t>02764-91139</t>
  </si>
  <si>
    <t>Panneau de signalisation à clipser : Attention:Blanc - Logo</t>
  </si>
  <si>
    <t>CLIP SIGN simple-B AttentLogo</t>
  </si>
  <si>
    <t>02764-91140</t>
  </si>
  <si>
    <t>Panneau de signalisation à clipser : Attention:Orange - Texte</t>
  </si>
  <si>
    <t>CLIP SIGN simple-O AttentTexte</t>
  </si>
  <si>
    <t>02764-91141</t>
  </si>
  <si>
    <t>Panneau de signalisation à clipser : Attention:Jaune - Texte</t>
  </si>
  <si>
    <t>CLIP SIGN simple-J AttentTexte</t>
  </si>
  <si>
    <t>02764-91142</t>
  </si>
  <si>
    <t>Panneau de signalisation à clipser : Attention:Blanc - Texte</t>
  </si>
  <si>
    <t>CLIP SIGN simple-B AttentTexte</t>
  </si>
  <si>
    <t>02765-91146</t>
  </si>
  <si>
    <t>Panneau à clipser pour cône - Flèche:Blanc - Simple</t>
  </si>
  <si>
    <t>CLIP SIGN simple-B Flèche</t>
  </si>
  <si>
    <t>02765-91147</t>
  </si>
  <si>
    <t>Panneau à clipser pour cône - Flèche:Orange - Simple</t>
  </si>
  <si>
    <t>CLIP SIGN simple-O Flèche</t>
  </si>
  <si>
    <t>02765-91148</t>
  </si>
  <si>
    <t>Panneau à clipser pour cône - Flèche:Jaune - Simple</t>
  </si>
  <si>
    <t>CLIP SIGN simple-J Flèche</t>
  </si>
  <si>
    <t>02765-91149</t>
  </si>
  <si>
    <t>Panneau à clipser pour cône - Flèche:Orange - Double</t>
  </si>
  <si>
    <t>CLIP SIGN double Flèche</t>
  </si>
  <si>
    <t>02766-91151</t>
  </si>
  <si>
    <t>Panneau de signalisation à clipser Port du Casque Obligatoire: Orange</t>
  </si>
  <si>
    <t>CLIP SIGN simple-O Casque Oblig.</t>
  </si>
  <si>
    <t>02766-91152</t>
  </si>
  <si>
    <t>Panneau de signalisation à clipser Port du Casque Obligatoire: Jaune</t>
  </si>
  <si>
    <t>CLIP SIGN simple-J Casque Oblig.</t>
  </si>
  <si>
    <t>02766-91153</t>
  </si>
  <si>
    <t>Panneau de signalisation à clipser Port du Casque Obligatoire: Blanc</t>
  </si>
  <si>
    <t>CLIP SIGN simple-B Casque Oblig.</t>
  </si>
  <si>
    <t>02770-91204</t>
  </si>
  <si>
    <t>Panneau à clipser sur Cône avec texte personnalisé:Blanc - Simple</t>
  </si>
  <si>
    <t>CLIP SIGN simple-B marquage</t>
  </si>
  <si>
    <t>02770-91205</t>
  </si>
  <si>
    <t>Panneau à clipser sur Cône avec texte personnalisé:Orange - Simple</t>
  </si>
  <si>
    <t>CLIP SIGN simple-O marquage</t>
  </si>
  <si>
    <t>02770-91206</t>
  </si>
  <si>
    <t>Panneau à clipser sur Cône avec texte personnalisé:Jaune - Simple</t>
  </si>
  <si>
    <t>CLIP SIGN simple-J marquage</t>
  </si>
  <si>
    <t>02770-91207</t>
  </si>
  <si>
    <t>Panneau à clipser sur Cône avec texte personnalisé:Orange - Double</t>
  </si>
  <si>
    <t>CLIP SIGN double marquage</t>
  </si>
  <si>
    <t>02788-91763</t>
  </si>
  <si>
    <t>Panneau de signalisation à clipser Plan Vigipirate:Orange</t>
  </si>
  <si>
    <t>CLIP SIGN simple-O Vigipirate</t>
  </si>
  <si>
    <t>02788-91764</t>
  </si>
  <si>
    <t>Panneau de signalisation à clipser Plan Vigipirate:Jaune</t>
  </si>
  <si>
    <t>CLIP SIGN simple-J Vigipirate</t>
  </si>
  <si>
    <t>02788-91765</t>
  </si>
  <si>
    <t>Panneau de signalisation à clipser Plan Vigipirate:Blanc</t>
  </si>
  <si>
    <t>CLIP SIGN simple-B Vigipirate</t>
  </si>
  <si>
    <t>01244-193123</t>
  </si>
  <si>
    <t>Cône de signalisation 50 cm non lesté K5a:Classe 2 (HIP) - Oui</t>
  </si>
  <si>
    <t>REVO 11 R2</t>
  </si>
  <si>
    <t>01244-193124</t>
  </si>
  <si>
    <t>Cône de signalisation 50 cm non lesté K5a:Classe 2 (HIP) - Non</t>
  </si>
  <si>
    <t>2040</t>
  </si>
  <si>
    <t>Chaîne plastique rouge et blanche 25 m</t>
  </si>
  <si>
    <t>chaine</t>
  </si>
  <si>
    <t>2160</t>
  </si>
  <si>
    <t>Anneau connecteur chaîne pour cônes de signalisation</t>
  </si>
  <si>
    <t>Anneau-chaine</t>
  </si>
  <si>
    <t>2271</t>
  </si>
  <si>
    <t>Diable à roulettes pour cônes</t>
  </si>
  <si>
    <t>diable</t>
  </si>
  <si>
    <t>2325</t>
  </si>
  <si>
    <t>Écran de sérigraphie pour flocage de cônes (réutilisable)</t>
  </si>
  <si>
    <t>Ecran</t>
  </si>
  <si>
    <t>2620</t>
  </si>
  <si>
    <t>Crochet 12 mm pour chaîne et poteau lesté</t>
  </si>
  <si>
    <t>Crochet12mm</t>
  </si>
  <si>
    <t>01259-85146</t>
  </si>
  <si>
    <t>Barrière Rétractable pour Cônes de Signalisation:Bleu / Blanc</t>
  </si>
  <si>
    <t>FLEXILIGHT-BLEUB</t>
  </si>
  <si>
    <t>01259-14392</t>
  </si>
  <si>
    <t>Barrière Rétractable pour Cônes de Signalisation:Rouge / Blanc</t>
  </si>
  <si>
    <t>01266-14493</t>
  </si>
  <si>
    <t>Panneau pour cône à clipser vierge:Blanc - Simple</t>
  </si>
  <si>
    <t>CLIP SIGN simple-B</t>
  </si>
  <si>
    <t>01266-14494</t>
  </si>
  <si>
    <t>Panneau pour cône à clipser vierge:Orange - Simple</t>
  </si>
  <si>
    <t>CLIP SIGN simple-O</t>
  </si>
  <si>
    <t>01266-14495</t>
  </si>
  <si>
    <t>Panneau pour cône à clipser vierge:Jaune - Simple</t>
  </si>
  <si>
    <t>CLIP SIGN simple-J</t>
  </si>
  <si>
    <t>01266-14497</t>
  </si>
  <si>
    <t>Panneau pour cône à clipser vierge:Orange - Double</t>
  </si>
  <si>
    <t>CLIP SIGN double</t>
  </si>
  <si>
    <t>01269-14503</t>
  </si>
  <si>
    <t>Poteau de balisage lesté:5,5 kg</t>
  </si>
  <si>
    <t>CORPS PIQUET</t>
  </si>
  <si>
    <t>BASE 5,5 kg</t>
  </si>
  <si>
    <t>01269-14504</t>
  </si>
  <si>
    <t>Poteau de balisage lesté:8,0 kg</t>
  </si>
  <si>
    <t>BASE 8 kg</t>
  </si>
  <si>
    <t>01108-84855</t>
  </si>
  <si>
    <t>Ralentisseur routier 70 mm voie privée (fixations incluses):1 mètre - Avec embouts ronds</t>
  </si>
  <si>
    <t>Ralent70-1mEmbouts</t>
  </si>
  <si>
    <t>01108-84856</t>
  </si>
  <si>
    <t>Ralentisseur routier 70 mm voie privée (fixations incluses):1,5 mètre - Avec embouts ronds</t>
  </si>
  <si>
    <t>Ralent70-1.5mEmbouts</t>
  </si>
  <si>
    <t>01108-84857</t>
  </si>
  <si>
    <t>Ralentisseur routier 70 mm voie privée (fixations incluses):2 mètres - Avec embouts ronds</t>
  </si>
  <si>
    <t>Ralent70-2mEmbouts</t>
  </si>
  <si>
    <t>01108-84858</t>
  </si>
  <si>
    <t>Ralentisseur routier 70 mm voie privée (fixations incluses):2,5 mètres - Avec embouts ronds</t>
  </si>
  <si>
    <t>Ralent70-2.5mEmbouts</t>
  </si>
  <si>
    <t>01108-84859</t>
  </si>
  <si>
    <t>Ralentisseur routier 70 mm voie privée (fixations incluses):3 mètres - Avec embouts ronds</t>
  </si>
  <si>
    <t>Ralent70-3mEmbouts</t>
  </si>
  <si>
    <t>01108-84860</t>
  </si>
  <si>
    <t>Ralentisseur routier 70 mm voie privée (fixations incluses):3,5 mètres - Avec embouts ronds</t>
  </si>
  <si>
    <t>Ralent70-3.5mEmbouts</t>
  </si>
  <si>
    <t>01108-84861</t>
  </si>
  <si>
    <t>Ralentisseur routier 70 mm voie privée (fixations incluses):4 mètres - Avec embouts ronds</t>
  </si>
  <si>
    <t>Ralent70-4mEmbouts</t>
  </si>
  <si>
    <t>01108-84862</t>
  </si>
  <si>
    <t>Ralentisseur routier 70 mm voie privée (fixations incluses):4,5 mètres - Avec embouts ronds</t>
  </si>
  <si>
    <t>Ralent70-4.5mEmbouts</t>
  </si>
  <si>
    <t>01108-84863</t>
  </si>
  <si>
    <t>Ralentisseur routier 70 mm voie privée (fixations incluses):5 mètres - Avec embouts ronds</t>
  </si>
  <si>
    <t>Ralent70-5mEmbouts</t>
  </si>
  <si>
    <t>01108-84864</t>
  </si>
  <si>
    <t>Ralentisseur routier 70 mm voie privée (fixations incluses):5,5 mètres - Avec embouts ronds</t>
  </si>
  <si>
    <t>Ralent70-5.5mEmbouts</t>
  </si>
  <si>
    <t>01108-84865</t>
  </si>
  <si>
    <t>Ralentisseur routier 70 mm voie privée (fixations incluses):6 mètres - Avec embouts ronds</t>
  </si>
  <si>
    <t>Ralent70-6mEmbouts</t>
  </si>
  <si>
    <t>01108-84866</t>
  </si>
  <si>
    <t>Ralentisseur routier 70 mm voie privée (fixations incluses):6,5 mètres - Avec embouts ronds</t>
  </si>
  <si>
    <t>Ralent70-6.5mEmbouts</t>
  </si>
  <si>
    <t>01108-84867</t>
  </si>
  <si>
    <t>Ralentisseur routier 70 mm voie privée (fixations incluses):7 mètres - Avec embouts ronds</t>
  </si>
  <si>
    <t>Ralent70-7mEmbouts</t>
  </si>
  <si>
    <t>01108-84868</t>
  </si>
  <si>
    <t>Ralentisseur routier 70 mm voie privée (fixations incluses):7,5 mètres - Avec embouts ronds</t>
  </si>
  <si>
    <t>Ralent70-7.5mEmbouts</t>
  </si>
  <si>
    <t>01108-84869</t>
  </si>
  <si>
    <t>Ralentisseur routier 70 mm voie privée (fixations incluses):8 mètres - Avec embouts ronds</t>
  </si>
  <si>
    <t>Ralent70-8mEmbouts</t>
  </si>
  <si>
    <t>01108-84870</t>
  </si>
  <si>
    <t>Ralentisseur routier 70 mm voie privée (fixations incluses):8,5 mètres - Avec embouts ronds</t>
  </si>
  <si>
    <t>Ralent70-8.5mEmbouts</t>
  </si>
  <si>
    <t>01108-84871</t>
  </si>
  <si>
    <t>Ralentisseur routier 70 mm voie privée (fixations incluses):9 mètres - Avec embouts ronds</t>
  </si>
  <si>
    <t>Ralent70-9mEmbouts</t>
  </si>
  <si>
    <t>01108-84872</t>
  </si>
  <si>
    <t>Ralentisseur routier 70 mm voie privée (fixations incluses):9,5 mètres - Avec embouts ronds</t>
  </si>
  <si>
    <t>Ralent70-9.5mEmbouts</t>
  </si>
  <si>
    <t>01108-84873</t>
  </si>
  <si>
    <t>Ralentisseur routier 70 mm voie privée (fixations incluses):10 mètres - Avec embouts ronds</t>
  </si>
  <si>
    <t>Ralent70-10mEmbouts</t>
  </si>
  <si>
    <t>01108-84874</t>
  </si>
  <si>
    <t>Ralentisseur routier 70 mm voie privée (fixations incluses):1 mètre - Sans embouts ronds</t>
  </si>
  <si>
    <t>Ralent70-1m SANS EMBOUTS</t>
  </si>
  <si>
    <t>01108-84875</t>
  </si>
  <si>
    <t>Ralentisseur routier 70 mm voie privée (fixations incluses):1,5 mètre - Sans embouts ronds</t>
  </si>
  <si>
    <t>Ralent70-1.5m SANS EMBOUTS</t>
  </si>
  <si>
    <t>01108-84876</t>
  </si>
  <si>
    <t>Ralentisseur routier 70 mm voie privée (fixations incluses):2 mètres - Sans embouts ronds</t>
  </si>
  <si>
    <t>Ralent70-2m SANS EMBOUTS</t>
  </si>
  <si>
    <t>01108-84877</t>
  </si>
  <si>
    <t>Ralentisseur routier 70 mm voie privée (fixations incluses):2,5 mètres - Sans embouts ronds</t>
  </si>
  <si>
    <t>Ralent70-2.5m SANS EMBOUTS</t>
  </si>
  <si>
    <t>01108-84878</t>
  </si>
  <si>
    <t>Ralentisseur routier 70 mm voie privée (fixations incluses):3 mètres - Sans embouts ronds</t>
  </si>
  <si>
    <t>Ralent70-3m SANS EMBOUTS</t>
  </si>
  <si>
    <t>01108-84879</t>
  </si>
  <si>
    <t>Ralentisseur routier 70 mm voie privée (fixations incluses):3,5 mètres - Sans embouts ronds</t>
  </si>
  <si>
    <t>Ralent70-3.5m SANS EMBOUTS</t>
  </si>
  <si>
    <t>01108-84880</t>
  </si>
  <si>
    <t>Ralentisseur routier 70 mm voie privée (fixations incluses):4 mètres - Sans embouts ronds</t>
  </si>
  <si>
    <t>Ralent70-4m SANS EMBOUTS</t>
  </si>
  <si>
    <t>01108-84881</t>
  </si>
  <si>
    <t>Ralentisseur routier 70 mm voie privée (fixations incluses):4,5 mètres - Sans embouts ronds</t>
  </si>
  <si>
    <t>Ralent70-4.5m SANS EMBOUTS</t>
  </si>
  <si>
    <t>01108-84882</t>
  </si>
  <si>
    <t>Ralentisseur routier 70 mm voie privée (fixations incluses):5 mètres - Sans embouts ronds</t>
  </si>
  <si>
    <t>Ralent70-5m SANS EMBOUTS</t>
  </si>
  <si>
    <t>01108-84883</t>
  </si>
  <si>
    <t>Ralentisseur routier 70 mm voie privée (fixations incluses):5,5 mètres - Sans embouts ronds</t>
  </si>
  <si>
    <t>Ralent70-5.5m SANS EMBOUTS</t>
  </si>
  <si>
    <t>01108-84884</t>
  </si>
  <si>
    <t>Ralentisseur routier 70 mm voie privée (fixations incluses):6 mètres - Sans embouts ronds</t>
  </si>
  <si>
    <t>Ralent70-6m SANS EMBOUTS</t>
  </si>
  <si>
    <t>01108-84885</t>
  </si>
  <si>
    <t>Ralentisseur routier 70 mm voie privée (fixations incluses):6,5 mètres - Sans embouts ronds</t>
  </si>
  <si>
    <t>Ralent70-6.5m SANS EMBOUTS</t>
  </si>
  <si>
    <t>01108-84886</t>
  </si>
  <si>
    <t>Ralentisseur routier 70 mm voie privée (fixations incluses):7 mètres - Sans embouts ronds</t>
  </si>
  <si>
    <t>Ralent70-7m SANS EMBOUTS</t>
  </si>
  <si>
    <t>01108-84887</t>
  </si>
  <si>
    <t>Ralentisseur routier 70 mm voie privée (fixations incluses):7,5 mètres - Sans embouts ronds</t>
  </si>
  <si>
    <t>Ralent70-7.5m SANS EMBOUTS</t>
  </si>
  <si>
    <t>01108-84888</t>
  </si>
  <si>
    <t>Ralentisseur routier 70 mm voie privée (fixations incluses):8 mètres - Sans embouts ronds</t>
  </si>
  <si>
    <t>Ralent70-8m SANS EMBOUTS</t>
  </si>
  <si>
    <t>01108-84889</t>
  </si>
  <si>
    <t>Ralentisseur routier 70 mm voie privée (fixations incluses):8,5 mètres - Sans embouts ronds</t>
  </si>
  <si>
    <t>Ralent70-8.5m SANS EMBOUTS</t>
  </si>
  <si>
    <t>01108-84890</t>
  </si>
  <si>
    <t>Ralentisseur routier 70 mm voie privée (fixations incluses):9 mètres - Sans embouts ronds</t>
  </si>
  <si>
    <t>Ralent70-9m SANS EMBOUTS</t>
  </si>
  <si>
    <t>01108-84891</t>
  </si>
  <si>
    <t>Ralentisseur routier 70 mm voie privée (fixations incluses):9,5 mètres - Sans embouts ronds</t>
  </si>
  <si>
    <t>Ralent70-9.5m SANS EMBOUTS</t>
  </si>
  <si>
    <t>01108-84892</t>
  </si>
  <si>
    <t>Ralentisseur routier 70 mm voie privée (fixations incluses):10 mètres - Sans embouts ronds</t>
  </si>
  <si>
    <t>Ralent70-10m SANS EMBOUTS</t>
  </si>
  <si>
    <t>01108-84961</t>
  </si>
  <si>
    <t>Ralentisseur routier 70 mm voie privée (fixations incluses): Sans embouts ronds - 0,5 mètre</t>
  </si>
  <si>
    <t>Ralent70-0.5m SANS EMBOUTS</t>
  </si>
  <si>
    <t>02511-85062</t>
  </si>
  <si>
    <t>Barrière Vauban en PVC renforcée:Rouge</t>
  </si>
  <si>
    <t>02511-85063</t>
  </si>
  <si>
    <t>Barrière Vauban en PVC renforcée:Bleu</t>
  </si>
  <si>
    <t>02511-85064</t>
  </si>
  <si>
    <t>Barrière Vauban en PVC renforcée:Blanc</t>
  </si>
  <si>
    <t>02524-85438</t>
  </si>
  <si>
    <t>Balise Potelet autorelevable pour Voie Privée:Orange - Sans</t>
  </si>
  <si>
    <t>02525-85443</t>
  </si>
  <si>
    <t>Balise autorelevable hexagonale de type potelet:Noir - Avec - Sans</t>
  </si>
  <si>
    <t>02525-85446</t>
  </si>
  <si>
    <t>Balise autorelevable hexagonale de type potelet:Noir - Sans - Sans</t>
  </si>
  <si>
    <t>02754-91073</t>
  </si>
  <si>
    <t>Ralentisseur routier 30 mm voie privée (fixations incluses): Sans embouts ronds - 0,5 mètre</t>
  </si>
  <si>
    <t>Ralent30-0.5m SANS EMBOUTS</t>
  </si>
  <si>
    <t>02754-91074</t>
  </si>
  <si>
    <t>Ralentisseur routier 30 mm voie privée (fixations incluses):1 mètre - Sans embouts ronds</t>
  </si>
  <si>
    <t>Ralent30-1m SANS EMBOUTS</t>
  </si>
  <si>
    <t>02754-91075</t>
  </si>
  <si>
    <t>Ralentisseur routier 30 mm voie privée (fixations incluses):1,5 mètre - Sans embouts ronds</t>
  </si>
  <si>
    <t>Ralent30-1.5m SANS EMBOUTS</t>
  </si>
  <si>
    <t>02754-91076</t>
  </si>
  <si>
    <t>Ralentisseur routier 30 mm voie privée (fixations incluses):2 mètres - Sans embouts ronds</t>
  </si>
  <si>
    <t>Ralent30-2m SANS EMBOUTS</t>
  </si>
  <si>
    <t>02754-91077</t>
  </si>
  <si>
    <t>Ralentisseur routier 30 mm voie privée (fixations incluses):2,5 mètres - Sans embouts ronds</t>
  </si>
  <si>
    <t>Ralent30-2.5m SANS EMBOUTS</t>
  </si>
  <si>
    <t>02754-91078</t>
  </si>
  <si>
    <t>Ralentisseur routier 30 mm voie privée (fixations incluses):3 mètres - Sans embouts ronds</t>
  </si>
  <si>
    <t>Ralent30-3m SANS EMBOUTS</t>
  </si>
  <si>
    <t>02754-91079</t>
  </si>
  <si>
    <t>Ralentisseur routier 30 mm voie privée (fixations incluses):3,5 mètres - Sans embouts ronds</t>
  </si>
  <si>
    <t>Ralent30-3.5m SANS EMBOUTS</t>
  </si>
  <si>
    <t>02754-91080</t>
  </si>
  <si>
    <t>Ralentisseur routier 30 mm voie privée (fixations incluses):4 mètres - Sans embouts ronds</t>
  </si>
  <si>
    <t>Ralent30-4m SANS EMBOUTS</t>
  </si>
  <si>
    <t>02754-91081</t>
  </si>
  <si>
    <t>Ralentisseur routier 30 mm voie privée (fixations incluses):4,5 mètres - Sans embouts ronds</t>
  </si>
  <si>
    <t>Ralent30-4.5m SANS EMBOUTS</t>
  </si>
  <si>
    <t>02754-91082</t>
  </si>
  <si>
    <t>Ralentisseur routier 30 mm voie privée (fixations incluses):5 mètres - Sans embouts ronds</t>
  </si>
  <si>
    <t>Ralent30-5m SANS EMBOUTS</t>
  </si>
  <si>
    <t>02754-91083</t>
  </si>
  <si>
    <t>Ralentisseur routier 30 mm voie privée (fixations incluses):5,5 mètres - Sans embouts ronds</t>
  </si>
  <si>
    <t>Ralent30-5.5m SANS EMBOUTS</t>
  </si>
  <si>
    <t>02754-91084</t>
  </si>
  <si>
    <t>Ralentisseur routier 30 mm voie privée (fixations incluses):6 mètres - Sans embouts ronds</t>
  </si>
  <si>
    <t>Ralent30-6m SANS EMBOUTS</t>
  </si>
  <si>
    <t>02754-91085</t>
  </si>
  <si>
    <t>Ralentisseur routier 30 mm voie privée (fixations incluses):6,5 mètres - Sans embouts ronds</t>
  </si>
  <si>
    <t>Ralent30-6.5m SANS EMBOUTS</t>
  </si>
  <si>
    <t>02754-91086</t>
  </si>
  <si>
    <t>Ralentisseur routier 30 mm voie privée (fixations incluses):7 mètres - Sans embouts ronds</t>
  </si>
  <si>
    <t>Ralent30-7m SANS EMBOUTS</t>
  </si>
  <si>
    <t>02754-91087</t>
  </si>
  <si>
    <t>Ralentisseur routier 30 mm voie privée (fixations incluses):7,5 mètres - Sans embouts ronds</t>
  </si>
  <si>
    <t>Ralent30-7.5m SANS EMBOUTS</t>
  </si>
  <si>
    <t>02754-91088</t>
  </si>
  <si>
    <t>Ralentisseur routier 30 mm voie privée (fixations incluses):8 mètres - Sans embouts ronds</t>
  </si>
  <si>
    <t>Ralent30-8m SANS EMBOUTS</t>
  </si>
  <si>
    <t>02754-91089</t>
  </si>
  <si>
    <t>Ralentisseur routier 30 mm voie privée (fixations incluses):8,5 mètres - Sans embouts ronds</t>
  </si>
  <si>
    <t>Ralent30-8.5m SANS EMBOUTS</t>
  </si>
  <si>
    <t>02754-91090</t>
  </si>
  <si>
    <t>Ralentisseur routier 30 mm voie privée (fixations incluses):9 mètres - Sans embouts ronds</t>
  </si>
  <si>
    <t>Ralent30-9m SANS EMBOUTS</t>
  </si>
  <si>
    <t>02754-91091</t>
  </si>
  <si>
    <t>Ralentisseur routier 30 mm voie privée (fixations incluses):9,5 mètres - Sans embouts ronds</t>
  </si>
  <si>
    <t>Ralent30-9.5m SANS EMBOUTS</t>
  </si>
  <si>
    <t>02754-91092</t>
  </si>
  <si>
    <t>Ralentisseur routier 30 mm voie privée (fixations incluses):10 mètres - Sans embouts ronds</t>
  </si>
  <si>
    <t>Ralent30-10m SANS EMBOUTS</t>
  </si>
  <si>
    <t>02754-91093</t>
  </si>
  <si>
    <t>Ralentisseur routier 30 mm voie privée (fixations incluses):1 mètre - Avec embouts ronds</t>
  </si>
  <si>
    <t>Ralent30-1mEmbouts</t>
  </si>
  <si>
    <t>02754-91094</t>
  </si>
  <si>
    <t>Ralentisseur routier 30 mm voie privée (fixations incluses):1,5 mètre - Avec embouts ronds</t>
  </si>
  <si>
    <t>Ralent30-1.5mEmbouts</t>
  </si>
  <si>
    <t>02754-91095</t>
  </si>
  <si>
    <t>Ralentisseur routier 30 mm voie privée (fixations incluses):2 mètres - Avec embouts ronds</t>
  </si>
  <si>
    <t>Ralent30-2mEmbouts</t>
  </si>
  <si>
    <t>02754-91096</t>
  </si>
  <si>
    <t>Ralentisseur routier 30 mm voie privée (fixations incluses):2,5 mètres - Avec embouts ronds</t>
  </si>
  <si>
    <t>Ralent30-2.5mEmbouts</t>
  </si>
  <si>
    <t>02754-91097</t>
  </si>
  <si>
    <t>Ralentisseur routier 30 mm voie privée (fixations incluses):3 mètres - Avec embouts ronds</t>
  </si>
  <si>
    <t>Ralent30-3mEmbouts</t>
  </si>
  <si>
    <t>02754-91098</t>
  </si>
  <si>
    <t>Ralentisseur routier 30 mm voie privée (fixations incluses):3,5 mètres - Avec embouts ronds</t>
  </si>
  <si>
    <t>Ralent30-3.5mEmbouts</t>
  </si>
  <si>
    <t>02754-91099</t>
  </si>
  <si>
    <t>Ralentisseur routier 30 mm voie privée (fixations incluses):4 mètres - Avec embouts ronds</t>
  </si>
  <si>
    <t>Ralent30-4mEmbouts</t>
  </si>
  <si>
    <t>02754-91100</t>
  </si>
  <si>
    <t>Ralentisseur routier 30 mm voie privée (fixations incluses):4,5 mètres - Avec embouts ronds</t>
  </si>
  <si>
    <t>Ralent30-4.5mEmbouts</t>
  </si>
  <si>
    <t>02754-91101</t>
  </si>
  <si>
    <t>Ralentisseur routier 30 mm voie privée (fixations incluses):5 mètres - Avec embouts ronds</t>
  </si>
  <si>
    <t>Ralent30-5mEmbouts</t>
  </si>
  <si>
    <t>02754-91102</t>
  </si>
  <si>
    <t>Ralentisseur routier 30 mm voie privée (fixations incluses):5,5 mètres - Avec embouts ronds</t>
  </si>
  <si>
    <t>Ralent30-5.5mEmbouts</t>
  </si>
  <si>
    <t>02754-91103</t>
  </si>
  <si>
    <t>Ralentisseur routier 30 mm voie privée (fixations incluses):6 mètres - Avec embouts ronds</t>
  </si>
  <si>
    <t>Ralent30-6mEmbouts</t>
  </si>
  <si>
    <t>02754-91104</t>
  </si>
  <si>
    <t>Ralentisseur routier 30 mm voie privée (fixations incluses):6,5 mètres - Avec embouts ronds</t>
  </si>
  <si>
    <t>Ralent30-6.5mEmbouts</t>
  </si>
  <si>
    <t>02754-91105</t>
  </si>
  <si>
    <t>Ralentisseur routier 30 mm voie privée (fixations incluses):7 mètres - Avec embouts ronds</t>
  </si>
  <si>
    <t>Ralent30-7mEmbouts</t>
  </si>
  <si>
    <t>02754-91106</t>
  </si>
  <si>
    <t>Ralentisseur routier 30 mm voie privée (fixations incluses):7,5 mètres - Avec embouts ronds</t>
  </si>
  <si>
    <t>Ralent30-7.5mEmbouts</t>
  </si>
  <si>
    <t>02754-91107</t>
  </si>
  <si>
    <t>Ralentisseur routier 30 mm voie privée (fixations incluses):8 mètres - Avec embouts ronds</t>
  </si>
  <si>
    <t>Ralent30-8mEmbouts</t>
  </si>
  <si>
    <t>02754-91108</t>
  </si>
  <si>
    <t>Ralentisseur routier 30 mm voie privée (fixations incluses):8,5 mètres - Avec embouts ronds</t>
  </si>
  <si>
    <t>Ralent30-8.5mEmbouts</t>
  </si>
  <si>
    <t>02754-91109</t>
  </si>
  <si>
    <t>Ralentisseur routier 30 mm voie privée (fixations incluses):9 mètres - Avec embouts ronds</t>
  </si>
  <si>
    <t>Ralent30-9mEmbouts</t>
  </si>
  <si>
    <t>02754-91110</t>
  </si>
  <si>
    <t>Ralentisseur routier 30 mm voie privée (fixations incluses):9,5 mètres - Avec embouts ronds</t>
  </si>
  <si>
    <t>Ralent30-9.5mEmbouts</t>
  </si>
  <si>
    <t>02754-91111</t>
  </si>
  <si>
    <t>Ralentisseur routier 30 mm voie privée (fixations incluses):10 mètres - Avec embouts ronds</t>
  </si>
  <si>
    <t>Ralent30-10mEmbouts</t>
  </si>
  <si>
    <t>02799-92237</t>
  </si>
  <si>
    <t>Balise Anti Stationnement avec ou sans Plastobloc:Simple face - Sans - Blanc</t>
  </si>
  <si>
    <t>SF-pochette</t>
  </si>
  <si>
    <t>02799-92242</t>
  </si>
  <si>
    <t>Balise Anti Stationnement avec ou sans Plastobloc:Double face - Sans - Blanc</t>
  </si>
  <si>
    <t>DF-pochette</t>
  </si>
  <si>
    <t>02888-93057</t>
  </si>
  <si>
    <t>K5C Light - Balise d'Alignement:Classe 1 (T1) - Gauche / Gauche - Sans</t>
  </si>
  <si>
    <t>K5C EHS SANS BANDE</t>
  </si>
  <si>
    <t>02888-93058</t>
  </si>
  <si>
    <t>K5C Light - Balise d'Alignement:Classe 1 (T1) - Droite / Droite - Sans</t>
  </si>
  <si>
    <t>02888-93059</t>
  </si>
  <si>
    <t>K5C Light - Balise d'Alignement:Classe 1 (T1) - Gauche / Gauche - Avec plastobloc de 25 kg</t>
  </si>
  <si>
    <t>BASE CAOUTCHOUC K5C 25KG</t>
  </si>
  <si>
    <t>02888-93060</t>
  </si>
  <si>
    <t>K5C Light - Balise d'Alignement:Classe 1 (T1) - Droite / Droite - Avec plastobloc de 25 kg</t>
  </si>
  <si>
    <t>02888-93061</t>
  </si>
  <si>
    <t>K5C Light - Balise d'Alignement:Classe 1 (T1) - Gauche / Droite - Avec plastobloc de 25 kg</t>
  </si>
  <si>
    <t>02888-93062</t>
  </si>
  <si>
    <t>K5C Light - Balise d'Alignement:Classe 1 (T1) - Gauche / Droite - Sans</t>
  </si>
  <si>
    <t>02888-93063</t>
  </si>
  <si>
    <t>K5C Light - Balise d'Alignement:Classe 1 (T1) - Gauche / Gauche - Avec plastobloc de 10 kg</t>
  </si>
  <si>
    <t>BASE K5C 10kg</t>
  </si>
  <si>
    <t>02888-93064</t>
  </si>
  <si>
    <t>K5C Light - Balise d'Alignement:Classe 1 (T1) - Droite / Droite - Avec plastobloc de 10 kg</t>
  </si>
  <si>
    <t>02888-93065</t>
  </si>
  <si>
    <t>K5C Light - Balise d'Alignement:Classe 1 (T1) - Gauche / Droite - Avec plastobloc de 10 kg</t>
  </si>
  <si>
    <t>02888-93066</t>
  </si>
  <si>
    <t>K5C Light - Balise d'Alignement:Classe 2 (HIP) - Gauche / Gauche - Sans</t>
  </si>
  <si>
    <t>K5C EHS DF Cl2 gauche/droite</t>
  </si>
  <si>
    <t>02888-93067</t>
  </si>
  <si>
    <t>K5C Light - Balise d'Alignement:Classe 2 (HIP) - Droite / Droite - Sans</t>
  </si>
  <si>
    <t>02888-93068</t>
  </si>
  <si>
    <t>K5C Light - Balise d'Alignement:Classe 2 (HIP) - Gauche / Droite - Sans</t>
  </si>
  <si>
    <t>02888-93069</t>
  </si>
  <si>
    <t>K5C Light - Balise d'Alignement:Classe 2 (HIP) - Gauche / Gauche - Avec plastobloc de 10 kg</t>
  </si>
  <si>
    <t>02888-93070</t>
  </si>
  <si>
    <t>K5C Light - Balise d'Alignement:Classe 2 (HIP) - Droite / Droite - Avec plastobloc de 10 kg</t>
  </si>
  <si>
    <t>02888-93071</t>
  </si>
  <si>
    <t>K5C Light - Balise d'Alignement:Classe 2 (HIP) - Gauche / Droite - Avec plastobloc de 10 kg</t>
  </si>
  <si>
    <t>02888-93072</t>
  </si>
  <si>
    <t>K5C Light - Balise d'Alignement:Classe 2 (HIP) - Gauche / Gauche - Avec plastobloc de 25 kg</t>
  </si>
  <si>
    <t>02888-93073</t>
  </si>
  <si>
    <t>K5C Light - Balise d'Alignement:Classe 2 (HIP) - Droite / Droite - Avec plastobloc de 25 kg</t>
  </si>
  <si>
    <t>02888-93074</t>
  </si>
  <si>
    <t>K5C Light - Balise d'Alignement:Classe 2 (HIP) - Gauche / Droite - Avec plastobloc de 25 kg</t>
  </si>
  <si>
    <t>02888-93075</t>
  </si>
  <si>
    <t>K5C Light - Balise d'Alignement:Classe 1 (T1) - Gauche - Sans</t>
  </si>
  <si>
    <t>150 004 SIMPLE FACE</t>
  </si>
  <si>
    <t>02888-93076</t>
  </si>
  <si>
    <t>K5C Light - Balise d'Alignement:Classe 1 (T1) - Droite - Sans</t>
  </si>
  <si>
    <t>02888-93077</t>
  </si>
  <si>
    <t>K5C Light - Balise d'Alignement:Classe 1 (T1) - Gauche - Avec plastobloc de 25 kg</t>
  </si>
  <si>
    <t>02888-93078</t>
  </si>
  <si>
    <t>K5C Light - Balise d'Alignement:Classe 1 (T1) - Droite - Avec plastobloc de 25 kg</t>
  </si>
  <si>
    <t>02888-93079</t>
  </si>
  <si>
    <t>K5C Light - Balise d'Alignement:Classe 1 (T1) - Gauche - Avec plastobloc de 10 kg</t>
  </si>
  <si>
    <t>02888-93080</t>
  </si>
  <si>
    <t>K5C Light - Balise d'Alignement:Classe 1 (T1) - Droite - Avec plastobloc de 10 kg</t>
  </si>
  <si>
    <t>02888-93081</t>
  </si>
  <si>
    <t>K5C Light - Balise d'Alignement:Classe 2 (HIP) - Gauche - Sans</t>
  </si>
  <si>
    <t>150 006 SIMPLE FACE</t>
  </si>
  <si>
    <t>02888-93082</t>
  </si>
  <si>
    <t>K5C Light - Balise d'Alignement:Classe 2 (HIP) - Droite - Sans</t>
  </si>
  <si>
    <t>02888-93083</t>
  </si>
  <si>
    <t>K5C Light - Balise d'Alignement:Classe 2 (HIP) - Gauche - Avec plastobloc de 25 kg</t>
  </si>
  <si>
    <t>02888-93084</t>
  </si>
  <si>
    <t>K5C Light - Balise d'Alignement:Classe 2 (HIP) - Droite - Avec plastobloc de 25 kg</t>
  </si>
  <si>
    <t>02888-93085</t>
  </si>
  <si>
    <t>K5C Light - Balise d'Alignement:Classe 2 (HIP) - Gauche - Avec plastobloc de 10 kg</t>
  </si>
  <si>
    <t>02888-93086</t>
  </si>
  <si>
    <t>K5C Light - Balise d'Alignement:Classe 2 (HIP) - Droite - Avec plastobloc de 10 kg</t>
  </si>
  <si>
    <t>02892-93096</t>
  </si>
  <si>
    <t>K5C Mini - Balise d'Alignement:Gauche / Gauche - Sans - Sans</t>
  </si>
  <si>
    <t>MINI K5C CL2 DF gauche/droite</t>
  </si>
  <si>
    <t>02892-93097</t>
  </si>
  <si>
    <t>K5C Mini - Balise d'Alignement:Droite / Droite - Sans - Sans</t>
  </si>
  <si>
    <t>02892-93098</t>
  </si>
  <si>
    <t>K5C Mini - Balise d'Alignement:Gauche / Droite - Sans - Sans</t>
  </si>
  <si>
    <t>02892-93099</t>
  </si>
  <si>
    <t>K5C Mini - Balise d'Alignement:Gauche / Gauche - Sans - Avec plastobloc de 8 kg</t>
  </si>
  <si>
    <t>Pale mini K5c</t>
  </si>
  <si>
    <t>base mini k5c 8kg</t>
  </si>
  <si>
    <t>02892-93100</t>
  </si>
  <si>
    <t>K5C Mini - Balise d'Alignement:Droite / Droite - Sans - Avec plastobloc de 8 kg</t>
  </si>
  <si>
    <t>02892-93101</t>
  </si>
  <si>
    <t>K5C Mini - Balise d'Alignement:Gauche / Droite - Sans - Avec plastobloc de 8 kg</t>
  </si>
  <si>
    <t>02892-93110</t>
  </si>
  <si>
    <t>K5C Mini - Balise d'Alignement:Gauche - Sans - Sans</t>
  </si>
  <si>
    <t>150 022 SIMPLE FACE</t>
  </si>
  <si>
    <t>02892-93111</t>
  </si>
  <si>
    <t>K5C Mini - Balise d'Alignement:Droite - Sans - Sans</t>
  </si>
  <si>
    <t>02892-93114</t>
  </si>
  <si>
    <t>K5C Mini - Balise d'Alignement:Gauche - Sans - Avec plastobloc de 8 kg</t>
  </si>
  <si>
    <t>02892-93115</t>
  </si>
  <si>
    <t>K5C Mini - Balise d'Alignement:Droite - Sans - Avec plastobloc de 8 kg</t>
  </si>
  <si>
    <t>02892-93130</t>
  </si>
  <si>
    <t>K5C Mini - Balise d'Alignement:Gauche / Gauche - Avec - Avec plastobloc de 8 kg</t>
  </si>
  <si>
    <t>02892-93131</t>
  </si>
  <si>
    <t>K5C Mini - Balise d'Alignement:Droite / Droite - Avec - Avec plastobloc de 8 kg</t>
  </si>
  <si>
    <t>02892-93132</t>
  </si>
  <si>
    <t>K5C Mini - Balise d'Alignement:Gauche / Droite - Avec - Avec plastobloc de 8 kg</t>
  </si>
  <si>
    <t>02892-93135</t>
  </si>
  <si>
    <t>K5C Mini - Balise d'Alignement:Droite - Avec - Avec plastobloc de 8 kg</t>
  </si>
  <si>
    <t>150 022 SIMPLE/150 023 TIREFONDS</t>
  </si>
  <si>
    <t>02892-93136</t>
  </si>
  <si>
    <t>K5C Mini - Balise d'Alignement:Gauche - Avec - Avec plastobloc de 8 kg</t>
  </si>
  <si>
    <t>02902-93208</t>
  </si>
  <si>
    <t>Adhésif Service Rétroréfléchissant pour Véhicule:500 x 150 mm</t>
  </si>
  <si>
    <t>3M 13056 PanneauServicePetit</t>
  </si>
  <si>
    <t>02902-93623</t>
  </si>
  <si>
    <t>Adhésif Service Rétroréfléchissant pour Véhicule:1000 x 300 mm</t>
  </si>
  <si>
    <t>3M 13056 PanneauServiceGrand</t>
  </si>
  <si>
    <t>02928-95222</t>
  </si>
  <si>
    <t>Panneau Magnétique Service Rétroréfléchissant pour Véhicule:500 x 150 mm</t>
  </si>
  <si>
    <t>PanneauServiceMagnetique500x150</t>
  </si>
  <si>
    <t>02928-96418</t>
  </si>
  <si>
    <t>Panneau Magnétique Service Rétroréfléchissant pour Véhicule:1000 x 300 mm</t>
  </si>
  <si>
    <t>PanneauServiceMagnetique1000x300</t>
  </si>
  <si>
    <t>02525-96836</t>
  </si>
  <si>
    <t>Balise autorelevable hexagonale de type potelet:Noir - Avec - Avec</t>
  </si>
  <si>
    <t>Balise hexagonale noire 600mm</t>
  </si>
  <si>
    <t>Bouchon balise blanc</t>
  </si>
  <si>
    <t>02525-96837</t>
  </si>
  <si>
    <t>Balise autorelevable hexagonale de type potelet:Noir - Sans - Avec</t>
  </si>
  <si>
    <t>03247-97840</t>
  </si>
  <si>
    <t>Bande réfléchissante adhésive pour voiture:Classe 1 (T1)</t>
  </si>
  <si>
    <t>ORALITE-5421</t>
  </si>
  <si>
    <t>03247-97841</t>
  </si>
  <si>
    <t>Bande réfléchissante adhésive pour voiture:Classe 2 (HIP)</t>
  </si>
  <si>
    <t>ORALITE-5921M</t>
  </si>
  <si>
    <t>02524-114559</t>
  </si>
  <si>
    <t>Balise Potelet autorelevable pour Voie Privée:Noir - Sans</t>
  </si>
  <si>
    <t>00428-118240</t>
  </si>
  <si>
    <t>Grillage de Chantier Orange Renforcé:80 g/m2</t>
  </si>
  <si>
    <t>GrillageOrange80g/m2</t>
  </si>
  <si>
    <t>03551-118323</t>
  </si>
  <si>
    <t>Balise Anti-Stationnement Économique Avec Plastobloc: Simple face - Avec plastobloc de 10 kg</t>
  </si>
  <si>
    <t>SF-plasto10kg-sans-pochette</t>
  </si>
  <si>
    <t>03551-118324</t>
  </si>
  <si>
    <t>Balise Anti-Stationnement Économique Avec Plastobloc: Double face - Avec plastobloc de 10 kg</t>
  </si>
  <si>
    <t>DF-plasto10kg-sans-pochette</t>
  </si>
  <si>
    <t>03551-118325</t>
  </si>
  <si>
    <t>Balise Anti-Stationnement Économique Avec Plastobloc: Simple face - Avec plastobloc de 25 kg</t>
  </si>
  <si>
    <t>SF-plasto25kg-sans-pochette</t>
  </si>
  <si>
    <t>03551-118326</t>
  </si>
  <si>
    <t>Balise Anti-Stationnement Économique Avec Plastobloc: Double face - Avec plastobloc de 25 kg</t>
  </si>
  <si>
    <t>DF-plasto25kg-sans-pochette</t>
  </si>
  <si>
    <t>02524-118409</t>
  </si>
  <si>
    <t>Balise Potelet autorelevable pour Voie Privée:Orange - Avec</t>
  </si>
  <si>
    <t>Balise autorelevable orange 750x80mm</t>
  </si>
  <si>
    <t>Bouchon balise orange</t>
  </si>
  <si>
    <t>02524-118410</t>
  </si>
  <si>
    <t>Balise Potelet autorelevable pour Voie Privée:Blanc - Avec</t>
  </si>
  <si>
    <t>Balise autorelevable blanche 750x80mm</t>
  </si>
  <si>
    <t>02524-118411</t>
  </si>
  <si>
    <t>Balise Potelet autorelevable pour Voie Privée:Noir - Avec</t>
  </si>
  <si>
    <t>00456-134323</t>
  </si>
  <si>
    <t>Butée de parking en caoutchouc:Jaune et Noir - 1100 mm avec texte STOP (3 ancrages)</t>
  </si>
  <si>
    <t>Butee-STOP-1100mm</t>
  </si>
  <si>
    <t>01255-148196</t>
  </si>
  <si>
    <t>Cône de signalisation 90 cm lesté K5a:Non rétroréfléchissant - Non</t>
  </si>
  <si>
    <t>REVO 70 NR</t>
  </si>
  <si>
    <t>01255-148197</t>
  </si>
  <si>
    <t>Cône de signalisation 90 cm lesté K5a:Non rétroréfléchissant - Oui</t>
  </si>
  <si>
    <t>01255-148198</t>
  </si>
  <si>
    <t>Cône de signalisation 90 cm lesté K5a:Classe 1 (T1) - Non</t>
  </si>
  <si>
    <t>REVO 70 R1</t>
  </si>
  <si>
    <t>01255-148199</t>
  </si>
  <si>
    <t>Cône de signalisation 90 cm lesté K5a:Classe 1 (T1) - Oui</t>
  </si>
  <si>
    <t>01255-148200</t>
  </si>
  <si>
    <t>Cône de signalisation 90 cm lesté K5a:Classe 2 (HIP) - Non</t>
  </si>
  <si>
    <t>REVO 70 R2</t>
  </si>
  <si>
    <t>01255-148201</t>
  </si>
  <si>
    <t>Cône de signalisation 90 cm lesté K5a:Classe 2 (HIP) - Oui</t>
  </si>
  <si>
    <t>02799-151777</t>
  </si>
  <si>
    <t>Balise Anti Stationnement avec ou sans Plastobloc:Simple face - Avec plastobloc de 18 kg - Blanc</t>
  </si>
  <si>
    <t>SF-plasto18kg-avec-pochette</t>
  </si>
  <si>
    <t>02799-151778</t>
  </si>
  <si>
    <t>Balise Anti Stationnement avec ou sans Plastobloc:Double face - Avec plastobloc de 18 kg - Blanc</t>
  </si>
  <si>
    <t>DF-plasto18kg-avec-pochette</t>
  </si>
  <si>
    <t>02799-151779</t>
  </si>
  <si>
    <t>Balise Anti Stationnement avec ou sans Plastobloc:Simple face - Avec plastobloc de 25 kg - Blanc</t>
  </si>
  <si>
    <t>SF-plasto25kg-avec-pochette</t>
  </si>
  <si>
    <t>02799-151780</t>
  </si>
  <si>
    <t>Balise Anti Stationnement avec ou sans Plastobloc:Double face - Avec plastobloc de 25 kg - Blanc</t>
  </si>
  <si>
    <t>DF-plasto25kg-avec-pochette</t>
  </si>
  <si>
    <t>02359-181114</t>
  </si>
  <si>
    <t>Barrière de parking rabattable avec cadenas:Économique Ø 32 mm</t>
  </si>
  <si>
    <t>Barparkeco</t>
  </si>
  <si>
    <t>06279-186903</t>
  </si>
  <si>
    <t>Chevalet travaux en cours:Simple face</t>
  </si>
  <si>
    <t>Chevalet personnalisable</t>
  </si>
  <si>
    <t>06279-186904</t>
  </si>
  <si>
    <t>Chevalet travaux en cours:Double face</t>
  </si>
  <si>
    <t>06281-186919</t>
  </si>
  <si>
    <t>Chevalet danger plusieurs messages au choix:Simple face - Attention travaux en cours</t>
  </si>
  <si>
    <t>06281-186920</t>
  </si>
  <si>
    <t>Chevalet danger plusieurs messages au choix:Double face - Attention travaux en cours</t>
  </si>
  <si>
    <t>06281-186922</t>
  </si>
  <si>
    <t>Chevalet danger plusieurs messages au choix:Double face - Attention sol glissant</t>
  </si>
  <si>
    <t>Chevalet Attention sol Glissant</t>
  </si>
  <si>
    <t>06281-186923</t>
  </si>
  <si>
    <t>Chevalet danger plusieurs messages au choix:Simple face - Attention peinture fraiche</t>
  </si>
  <si>
    <t>06281-186924</t>
  </si>
  <si>
    <t>Chevalet danger plusieurs messages au choix:Double face - Attention peinture fraiche</t>
  </si>
  <si>
    <t>06281-186925</t>
  </si>
  <si>
    <t>Chevalet danger plusieurs messages au choix:Simple face - Attention danger de chute</t>
  </si>
  <si>
    <t>06281-186926</t>
  </si>
  <si>
    <t>Chevalet danger plusieurs messages au choix:Double face - Attention danger de chute</t>
  </si>
  <si>
    <t>06281-186927</t>
  </si>
  <si>
    <t>Chevalet danger plusieurs messages au choix:Simple face - Attention danger électrique</t>
  </si>
  <si>
    <t>06281-186928</t>
  </si>
  <si>
    <t>Chevalet danger plusieurs messages au choix:Double face - Attention danger électrique</t>
  </si>
  <si>
    <t>06281-186929</t>
  </si>
  <si>
    <t>Chevalet danger plusieurs messages au choix:Simple face - Danger général</t>
  </si>
  <si>
    <t>06281-186930</t>
  </si>
  <si>
    <t>Chevalet danger plusieurs messages au choix:Double face - Danger général</t>
  </si>
  <si>
    <t>06292-186955</t>
  </si>
  <si>
    <t>Balise pliante personnalisable jaune message au choix:Double face</t>
  </si>
  <si>
    <t>06292-186956</t>
  </si>
  <si>
    <t>Balise pliante personnalisable jaune message au choix:Simple face</t>
  </si>
  <si>
    <t>3114</t>
  </si>
  <si>
    <t>Panneau magnétique transport d'enfants</t>
  </si>
  <si>
    <t>Ref 210016</t>
  </si>
  <si>
    <t>4091</t>
  </si>
  <si>
    <t>Protection angle de mur en Caoutchouc</t>
  </si>
  <si>
    <t>protection-angle-caoutchouc</t>
  </si>
  <si>
    <t>6275</t>
  </si>
  <si>
    <t>Chevalet sol glissant</t>
  </si>
  <si>
    <t>6294</t>
  </si>
  <si>
    <t>Chevalet de signalisation vierge jaune</t>
  </si>
  <si>
    <t>Chevalet jaune vierge</t>
  </si>
  <si>
    <t>05763-178794</t>
  </si>
  <si>
    <t>Potelet Souple à Boule - sans bande réflechissante</t>
  </si>
  <si>
    <t>150-041</t>
  </si>
  <si>
    <t>05763-178795</t>
  </si>
  <si>
    <t>Potelet Souple à Boule - avec bande réflechissante</t>
  </si>
  <si>
    <t>Balise autorelevable noire 750x80mm</t>
  </si>
  <si>
    <t xml:space="preserve">Barrière de sécurité 1m50 rouge </t>
  </si>
  <si>
    <t>Barrière de sécurité 1m50 bleu</t>
  </si>
  <si>
    <t>Barrière de sécurité 1m50 blanc</t>
  </si>
  <si>
    <t>FLEXILIGHT rouge blanc</t>
  </si>
  <si>
    <t>Plus de stock</t>
  </si>
  <si>
    <t>n'existe pas</t>
  </si>
  <si>
    <t>impression numérique</t>
  </si>
  <si>
    <t>Impression numérique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</si>
</sst>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_-* #,##0.00\ &quot;€&quot;_-;\-* #,##0.00\ &quot;€&quot;_-;_-* &quot;-&quot;??\ &quot;€&quot;_-;_-@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sz val="10"/>
      <color rgb="FF000000"/>
      <name val="Calibri"/>
      <scheme val="minor"/>
    </font>
    <font>
      <sz val="16"/>
      <color rgb="FF000000"/>
      <name val="Times New Roman"/>
    </font>
    <font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8651A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8" fontId="5" fillId="0" borderId="2" xfId="1" applyNumberFormat="1" applyFont="1" applyBorder="1" applyAlignment="1">
      <alignment horizontal="center" vertical="center"/>
    </xf>
    <xf numFmtId="168" fontId="5" fillId="0" borderId="2" xfId="1" applyNumberFormat="1" applyFont="1" applyBorder="1" applyAlignment="1">
      <alignment horizontal="left" vertical="center" wrapText="1"/>
    </xf>
    <xf numFmtId="168" fontId="5" fillId="0" borderId="3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168" fontId="5" fillId="0" borderId="3" xfId="1" applyNumberFormat="1" applyFont="1" applyBorder="1" applyAlignment="1">
      <alignment vertical="center" wrapText="1"/>
    </xf>
    <xf numFmtId="0" fontId="6" fillId="0" borderId="4" xfId="1" applyFont="1" applyBorder="1" applyAlignment="1">
      <alignment vertical="top"/>
    </xf>
    <xf numFmtId="44" fontId="6" fillId="0" borderId="4" xfId="1" applyNumberFormat="1" applyFont="1" applyBorder="1" applyAlignment="1">
      <alignment vertical="top"/>
    </xf>
    <xf numFmtId="0" fontId="6" fillId="0" borderId="4" xfId="1" applyNumberFormat="1" applyFont="1" applyBorder="1" applyAlignment="1">
      <alignment vertical="top"/>
    </xf>
    <xf numFmtId="44" fontId="6" fillId="0" borderId="5" xfId="1" applyNumberFormat="1" applyFont="1" applyBorder="1" applyAlignment="1">
      <alignment vertical="top"/>
    </xf>
  </cellXfs>
  <cellStyles count="2">
    <cellStyle name="Normal" xfId="0" builtinId="0"/>
    <cellStyle name="Normal 2" xfId="1" xr:uid="{D87C2D35-2AD8-4325-AEF0-88938A919A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"/>
  <sheetViews>
    <sheetView tabSelected="1" workbookViewId="0">
      <pane ySplit="1" topLeftCell="A308" activePane="bottomLeft" state="frozen"/>
      <selection pane="bottomLeft" activeCell="E328" sqref="E328"/>
    </sheetView>
  </sheetViews>
  <sheetFormatPr baseColWidth="10" defaultColWidth="9.140625" defaultRowHeight="15" x14ac:dyDescent="0.25"/>
  <cols>
    <col min="1" max="1" width="18" customWidth="1"/>
    <col min="2" max="2" width="60" customWidth="1"/>
    <col min="3" max="4" width="35" customWidth="1"/>
    <col min="5" max="5" width="17.140625" customWidth="1"/>
    <col min="6" max="6" width="22.855468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20.25" x14ac:dyDescent="0.25">
      <c r="A2" s="2" t="s">
        <v>5</v>
      </c>
      <c r="B2" s="3" t="s">
        <v>6</v>
      </c>
      <c r="C2" s="2" t="s">
        <v>7</v>
      </c>
      <c r="D2" s="2"/>
      <c r="E2" s="2" t="s">
        <v>8</v>
      </c>
      <c r="F2" s="10">
        <v>20.14</v>
      </c>
    </row>
    <row r="3" spans="1:6" ht="20.25" x14ac:dyDescent="0.25">
      <c r="A3" s="4" t="s">
        <v>9</v>
      </c>
      <c r="B3" s="5" t="s">
        <v>10</v>
      </c>
      <c r="C3" s="4" t="s">
        <v>11</v>
      </c>
      <c r="D3" s="4"/>
      <c r="E3" s="4" t="s">
        <v>8</v>
      </c>
      <c r="F3" s="10">
        <v>14.48</v>
      </c>
    </row>
    <row r="4" spans="1:6" ht="20.25" x14ac:dyDescent="0.25">
      <c r="A4" s="2" t="s">
        <v>12</v>
      </c>
      <c r="B4" s="3" t="s">
        <v>13</v>
      </c>
      <c r="C4" s="2" t="s">
        <v>14</v>
      </c>
      <c r="D4" s="2"/>
      <c r="E4" s="2" t="s">
        <v>8</v>
      </c>
      <c r="F4" s="10">
        <v>6.71</v>
      </c>
    </row>
    <row r="5" spans="1:6" ht="20.25" x14ac:dyDescent="0.25">
      <c r="A5" s="4" t="s">
        <v>15</v>
      </c>
      <c r="B5" s="5" t="s">
        <v>16</v>
      </c>
      <c r="C5" s="4" t="s">
        <v>17</v>
      </c>
      <c r="D5" s="4"/>
      <c r="E5" s="4" t="s">
        <v>8</v>
      </c>
      <c r="F5" s="10">
        <v>7.4</v>
      </c>
    </row>
    <row r="6" spans="1:6" ht="20.25" x14ac:dyDescent="0.25">
      <c r="A6" s="2" t="s">
        <v>18</v>
      </c>
      <c r="B6" s="3" t="s">
        <v>19</v>
      </c>
      <c r="C6" s="2" t="s">
        <v>20</v>
      </c>
      <c r="D6" s="2"/>
      <c r="E6" s="2" t="s">
        <v>8</v>
      </c>
      <c r="F6" s="10">
        <v>6.12</v>
      </c>
    </row>
    <row r="7" spans="1:6" ht="20.25" x14ac:dyDescent="0.25">
      <c r="A7" s="4" t="s">
        <v>21</v>
      </c>
      <c r="B7" s="5" t="s">
        <v>22</v>
      </c>
      <c r="C7" s="4" t="s">
        <v>23</v>
      </c>
      <c r="D7" s="4"/>
      <c r="E7" s="4" t="s">
        <v>8</v>
      </c>
      <c r="F7" s="10">
        <v>7.71</v>
      </c>
    </row>
    <row r="8" spans="1:6" ht="20.25" x14ac:dyDescent="0.25">
      <c r="A8" s="2" t="s">
        <v>24</v>
      </c>
      <c r="B8" s="3" t="s">
        <v>25</v>
      </c>
      <c r="C8" s="2" t="s">
        <v>26</v>
      </c>
      <c r="D8" s="2"/>
      <c r="E8" s="2" t="s">
        <v>8</v>
      </c>
      <c r="F8" s="10">
        <v>8.4</v>
      </c>
    </row>
    <row r="9" spans="1:6" ht="20.25" x14ac:dyDescent="0.25">
      <c r="A9" s="4" t="s">
        <v>27</v>
      </c>
      <c r="B9" s="5" t="s">
        <v>28</v>
      </c>
      <c r="C9" s="4" t="s">
        <v>29</v>
      </c>
      <c r="D9" s="4"/>
      <c r="E9" s="4" t="s">
        <v>8</v>
      </c>
      <c r="F9" s="10">
        <v>7.12</v>
      </c>
    </row>
    <row r="10" spans="1:6" ht="20.25" x14ac:dyDescent="0.25">
      <c r="A10" s="2" t="s">
        <v>30</v>
      </c>
      <c r="B10" s="3" t="s">
        <v>31</v>
      </c>
      <c r="C10" s="2" t="s">
        <v>32</v>
      </c>
      <c r="D10" s="2"/>
      <c r="E10" s="2" t="s">
        <v>8</v>
      </c>
      <c r="F10" s="10">
        <v>7.71</v>
      </c>
    </row>
    <row r="11" spans="1:6" ht="20.25" x14ac:dyDescent="0.25">
      <c r="A11" s="4" t="s">
        <v>33</v>
      </c>
      <c r="B11" s="5" t="s">
        <v>34</v>
      </c>
      <c r="C11" s="4" t="s">
        <v>35</v>
      </c>
      <c r="D11" s="4"/>
      <c r="E11" s="4" t="s">
        <v>8</v>
      </c>
      <c r="F11" s="10">
        <v>8.4</v>
      </c>
    </row>
    <row r="12" spans="1:6" ht="20.25" x14ac:dyDescent="0.25">
      <c r="A12" s="2" t="s">
        <v>36</v>
      </c>
      <c r="B12" s="3" t="s">
        <v>37</v>
      </c>
      <c r="C12" s="2" t="s">
        <v>38</v>
      </c>
      <c r="D12" s="2"/>
      <c r="E12" s="2" t="s">
        <v>8</v>
      </c>
      <c r="F12" s="10">
        <v>7.12</v>
      </c>
    </row>
    <row r="13" spans="1:6" ht="20.25" x14ac:dyDescent="0.25">
      <c r="A13" s="4" t="s">
        <v>39</v>
      </c>
      <c r="B13" s="5" t="s">
        <v>40</v>
      </c>
      <c r="C13" s="4" t="s">
        <v>41</v>
      </c>
      <c r="D13" s="4"/>
      <c r="E13" s="4" t="s">
        <v>8</v>
      </c>
      <c r="F13" s="10">
        <v>7.71</v>
      </c>
    </row>
    <row r="14" spans="1:6" ht="20.25" x14ac:dyDescent="0.25">
      <c r="A14" s="2" t="s">
        <v>42</v>
      </c>
      <c r="B14" s="3" t="s">
        <v>43</v>
      </c>
      <c r="C14" s="2" t="s">
        <v>44</v>
      </c>
      <c r="D14" s="2"/>
      <c r="E14" s="2" t="s">
        <v>8</v>
      </c>
      <c r="F14" s="10">
        <v>8.4</v>
      </c>
    </row>
    <row r="15" spans="1:6" ht="20.25" x14ac:dyDescent="0.25">
      <c r="A15" s="4" t="s">
        <v>45</v>
      </c>
      <c r="B15" s="5" t="s">
        <v>46</v>
      </c>
      <c r="C15" s="4" t="s">
        <v>47</v>
      </c>
      <c r="D15" s="4"/>
      <c r="E15" s="4" t="s">
        <v>8</v>
      </c>
      <c r="F15" s="10">
        <v>7.12</v>
      </c>
    </row>
    <row r="16" spans="1:6" ht="20.25" x14ac:dyDescent="0.25">
      <c r="A16" s="2" t="s">
        <v>48</v>
      </c>
      <c r="B16" s="3" t="s">
        <v>49</v>
      </c>
      <c r="C16" s="2" t="s">
        <v>50</v>
      </c>
      <c r="D16" s="2"/>
      <c r="E16" s="2" t="s">
        <v>8</v>
      </c>
      <c r="F16" s="10">
        <v>10.42</v>
      </c>
    </row>
    <row r="17" spans="1:6" ht="20.25" x14ac:dyDescent="0.25">
      <c r="A17" s="4" t="s">
        <v>51</v>
      </c>
      <c r="B17" s="5" t="s">
        <v>52</v>
      </c>
      <c r="C17" s="4" t="s">
        <v>53</v>
      </c>
      <c r="D17" s="4"/>
      <c r="E17" s="4" t="s">
        <v>8</v>
      </c>
      <c r="F17" s="10">
        <v>11.3</v>
      </c>
    </row>
    <row r="18" spans="1:6" ht="20.25" x14ac:dyDescent="0.25">
      <c r="A18" s="2" t="s">
        <v>54</v>
      </c>
      <c r="B18" s="3" t="s">
        <v>55</v>
      </c>
      <c r="C18" s="2" t="s">
        <v>56</v>
      </c>
      <c r="D18" s="2"/>
      <c r="E18" s="2" t="s">
        <v>8</v>
      </c>
      <c r="F18" s="10">
        <v>11.4</v>
      </c>
    </row>
    <row r="19" spans="1:6" ht="20.25" x14ac:dyDescent="0.25">
      <c r="A19" s="4" t="s">
        <v>57</v>
      </c>
      <c r="B19" s="5" t="s">
        <v>58</v>
      </c>
      <c r="C19" s="4" t="s">
        <v>59</v>
      </c>
      <c r="D19" s="4"/>
      <c r="E19" s="4" t="s">
        <v>8</v>
      </c>
      <c r="F19" s="10">
        <v>12.16</v>
      </c>
    </row>
    <row r="20" spans="1:6" ht="20.25" x14ac:dyDescent="0.25">
      <c r="A20" s="2" t="s">
        <v>60</v>
      </c>
      <c r="B20" s="3" t="s">
        <v>61</v>
      </c>
      <c r="C20" s="2" t="s">
        <v>62</v>
      </c>
      <c r="D20" s="2"/>
      <c r="E20" s="2" t="s">
        <v>8</v>
      </c>
      <c r="F20" s="10">
        <v>12.4</v>
      </c>
    </row>
    <row r="21" spans="1:6" ht="20.25" x14ac:dyDescent="0.25">
      <c r="A21" s="4" t="s">
        <v>63</v>
      </c>
      <c r="B21" s="5" t="s">
        <v>64</v>
      </c>
      <c r="C21" s="4" t="s">
        <v>65</v>
      </c>
      <c r="D21" s="4"/>
      <c r="E21" s="4" t="s">
        <v>8</v>
      </c>
      <c r="F21" s="10">
        <v>13.16</v>
      </c>
    </row>
    <row r="22" spans="1:6" ht="20.25" x14ac:dyDescent="0.25">
      <c r="A22" s="2" t="s">
        <v>66</v>
      </c>
      <c r="B22" s="3" t="s">
        <v>67</v>
      </c>
      <c r="C22" s="2" t="s">
        <v>68</v>
      </c>
      <c r="D22" s="2"/>
      <c r="E22" s="2" t="s">
        <v>8</v>
      </c>
      <c r="F22" s="10">
        <v>12.4</v>
      </c>
    </row>
    <row r="23" spans="1:6" ht="20.25" x14ac:dyDescent="0.25">
      <c r="A23" s="4" t="s">
        <v>69</v>
      </c>
      <c r="B23" s="5" t="s">
        <v>70</v>
      </c>
      <c r="C23" s="4" t="s">
        <v>71</v>
      </c>
      <c r="D23" s="4"/>
      <c r="E23" s="4" t="s">
        <v>8</v>
      </c>
      <c r="F23" s="10">
        <v>13.16</v>
      </c>
    </row>
    <row r="24" spans="1:6" ht="20.25" x14ac:dyDescent="0.25">
      <c r="A24" s="2" t="s">
        <v>72</v>
      </c>
      <c r="B24" s="3" t="s">
        <v>73</v>
      </c>
      <c r="C24" s="2" t="s">
        <v>74</v>
      </c>
      <c r="D24" s="2"/>
      <c r="E24" s="2" t="s">
        <v>8</v>
      </c>
      <c r="F24" s="10">
        <v>12.4</v>
      </c>
    </row>
    <row r="25" spans="1:6" ht="20.25" x14ac:dyDescent="0.25">
      <c r="A25" s="4" t="s">
        <v>75</v>
      </c>
      <c r="B25" s="5" t="s">
        <v>76</v>
      </c>
      <c r="C25" s="4" t="s">
        <v>77</v>
      </c>
      <c r="D25" s="4"/>
      <c r="E25" s="4" t="s">
        <v>8</v>
      </c>
      <c r="F25" s="10">
        <v>13.16</v>
      </c>
    </row>
    <row r="26" spans="1:6" ht="20.25" x14ac:dyDescent="0.25">
      <c r="A26" s="2" t="s">
        <v>78</v>
      </c>
      <c r="B26" s="3" t="s">
        <v>79</v>
      </c>
      <c r="C26" s="2" t="s">
        <v>80</v>
      </c>
      <c r="D26" s="2"/>
      <c r="E26" s="2" t="s">
        <v>8</v>
      </c>
      <c r="F26" s="10">
        <v>12.73</v>
      </c>
    </row>
    <row r="27" spans="1:6" ht="20.25" x14ac:dyDescent="0.25">
      <c r="A27" s="4" t="s">
        <v>81</v>
      </c>
      <c r="B27" s="5" t="s">
        <v>82</v>
      </c>
      <c r="C27" s="4" t="s">
        <v>83</v>
      </c>
      <c r="D27" s="4"/>
      <c r="E27" s="4" t="s">
        <v>8</v>
      </c>
      <c r="F27" s="10">
        <v>13.61</v>
      </c>
    </row>
    <row r="28" spans="1:6" ht="24" x14ac:dyDescent="0.25">
      <c r="A28" s="2" t="s">
        <v>84</v>
      </c>
      <c r="B28" s="3" t="s">
        <v>85</v>
      </c>
      <c r="C28" s="2" t="s">
        <v>86</v>
      </c>
      <c r="D28" s="2"/>
      <c r="E28" s="2" t="s">
        <v>8</v>
      </c>
      <c r="F28" s="10">
        <v>9.26</v>
      </c>
    </row>
    <row r="29" spans="1:6" ht="20.25" x14ac:dyDescent="0.25">
      <c r="A29" s="4" t="s">
        <v>87</v>
      </c>
      <c r="B29" s="5" t="s">
        <v>88</v>
      </c>
      <c r="C29" s="4" t="s">
        <v>89</v>
      </c>
      <c r="D29" s="4"/>
      <c r="E29" s="4" t="s">
        <v>8</v>
      </c>
      <c r="F29" s="10">
        <v>17</v>
      </c>
    </row>
    <row r="30" spans="1:6" ht="20.25" x14ac:dyDescent="0.25">
      <c r="A30" s="2" t="s">
        <v>90</v>
      </c>
      <c r="B30" s="3" t="s">
        <v>91</v>
      </c>
      <c r="C30" s="2" t="s">
        <v>92</v>
      </c>
      <c r="D30" s="2"/>
      <c r="E30" s="2" t="s">
        <v>8</v>
      </c>
      <c r="F30" s="10">
        <v>17</v>
      </c>
    </row>
    <row r="31" spans="1:6" ht="20.25" x14ac:dyDescent="0.25">
      <c r="A31" s="4" t="s">
        <v>93</v>
      </c>
      <c r="B31" s="5" t="s">
        <v>94</v>
      </c>
      <c r="C31" s="4" t="s">
        <v>95</v>
      </c>
      <c r="D31" s="4"/>
      <c r="E31" s="4" t="s">
        <v>8</v>
      </c>
      <c r="F31" s="10">
        <v>19</v>
      </c>
    </row>
    <row r="32" spans="1:6" ht="20.25" x14ac:dyDescent="0.25">
      <c r="A32" s="2" t="s">
        <v>96</v>
      </c>
      <c r="B32" s="3" t="s">
        <v>97</v>
      </c>
      <c r="C32" s="2" t="s">
        <v>98</v>
      </c>
      <c r="D32" s="2"/>
      <c r="E32" s="2" t="s">
        <v>8</v>
      </c>
      <c r="F32" s="10">
        <v>19</v>
      </c>
    </row>
    <row r="33" spans="1:6" ht="20.25" x14ac:dyDescent="0.25">
      <c r="A33" s="4" t="s">
        <v>99</v>
      </c>
      <c r="B33" s="5" t="s">
        <v>100</v>
      </c>
      <c r="C33" s="4" t="s">
        <v>101</v>
      </c>
      <c r="D33" s="4"/>
      <c r="E33" s="4" t="s">
        <v>8</v>
      </c>
      <c r="F33" s="10">
        <v>27</v>
      </c>
    </row>
    <row r="34" spans="1:6" ht="20.25" x14ac:dyDescent="0.25">
      <c r="A34" s="2" t="s">
        <v>102</v>
      </c>
      <c r="B34" s="3" t="s">
        <v>103</v>
      </c>
      <c r="C34" s="2" t="s">
        <v>104</v>
      </c>
      <c r="D34" s="2"/>
      <c r="E34" s="2" t="s">
        <v>8</v>
      </c>
      <c r="F34" s="10">
        <v>87</v>
      </c>
    </row>
    <row r="35" spans="1:6" ht="20.25" x14ac:dyDescent="0.25">
      <c r="A35" s="4" t="s">
        <v>105</v>
      </c>
      <c r="B35" s="5" t="s">
        <v>106</v>
      </c>
      <c r="C35" s="4" t="s">
        <v>107</v>
      </c>
      <c r="D35" s="4"/>
      <c r="E35" s="4" t="s">
        <v>8</v>
      </c>
      <c r="F35" s="10">
        <v>87</v>
      </c>
    </row>
    <row r="36" spans="1:6" x14ac:dyDescent="0.25">
      <c r="A36" s="2" t="s">
        <v>108</v>
      </c>
      <c r="B36" s="3" t="s">
        <v>109</v>
      </c>
      <c r="C36" s="2" t="s">
        <v>110</v>
      </c>
      <c r="D36" s="2"/>
      <c r="E36" s="2" t="s">
        <v>8</v>
      </c>
      <c r="F36" s="12" t="s">
        <v>871</v>
      </c>
    </row>
    <row r="37" spans="1:6" x14ac:dyDescent="0.25">
      <c r="A37" s="4" t="s">
        <v>111</v>
      </c>
      <c r="B37" s="5" t="s">
        <v>112</v>
      </c>
      <c r="C37" s="4" t="s">
        <v>113</v>
      </c>
      <c r="D37" s="4"/>
      <c r="E37" s="4" t="s">
        <v>8</v>
      </c>
      <c r="F37" s="13"/>
    </row>
    <row r="38" spans="1:6" x14ac:dyDescent="0.25">
      <c r="A38" s="2" t="s">
        <v>114</v>
      </c>
      <c r="B38" s="3" t="s">
        <v>115</v>
      </c>
      <c r="C38" s="2" t="s">
        <v>116</v>
      </c>
      <c r="D38" s="2"/>
      <c r="E38" s="2" t="s">
        <v>8</v>
      </c>
      <c r="F38" s="14"/>
    </row>
    <row r="39" spans="1:6" ht="15" customHeight="1" x14ac:dyDescent="0.25">
      <c r="A39" s="6" t="s">
        <v>117</v>
      </c>
      <c r="B39" s="7" t="s">
        <v>118</v>
      </c>
      <c r="C39" s="6" t="s">
        <v>119</v>
      </c>
      <c r="D39" s="6" t="s">
        <v>120</v>
      </c>
      <c r="E39" s="8" t="s">
        <v>121</v>
      </c>
      <c r="F39" s="15">
        <f>10.42+0.4</f>
        <v>10.82</v>
      </c>
    </row>
    <row r="40" spans="1:6" x14ac:dyDescent="0.25">
      <c r="A40" s="6" t="s">
        <v>122</v>
      </c>
      <c r="B40" s="7" t="s">
        <v>123</v>
      </c>
      <c r="C40" s="6" t="s">
        <v>124</v>
      </c>
      <c r="D40" s="6" t="s">
        <v>120</v>
      </c>
      <c r="E40" s="8" t="s">
        <v>121</v>
      </c>
      <c r="F40" s="16">
        <f>11.3+0.4</f>
        <v>11.700000000000001</v>
      </c>
    </row>
    <row r="41" spans="1:6" x14ac:dyDescent="0.25">
      <c r="A41" s="6" t="s">
        <v>125</v>
      </c>
      <c r="B41" s="7" t="s">
        <v>126</v>
      </c>
      <c r="C41" s="6" t="s">
        <v>127</v>
      </c>
      <c r="D41" s="6" t="s">
        <v>120</v>
      </c>
      <c r="E41" s="8" t="s">
        <v>121</v>
      </c>
      <c r="F41" s="16">
        <f>11.4+0.4</f>
        <v>11.8</v>
      </c>
    </row>
    <row r="42" spans="1:6" x14ac:dyDescent="0.25">
      <c r="A42" s="6" t="s">
        <v>128</v>
      </c>
      <c r="B42" s="7" t="s">
        <v>129</v>
      </c>
      <c r="C42" s="6" t="s">
        <v>130</v>
      </c>
      <c r="D42" s="6" t="s">
        <v>120</v>
      </c>
      <c r="E42" s="8" t="s">
        <v>121</v>
      </c>
      <c r="F42" s="16">
        <f>12.16+0.4</f>
        <v>12.56</v>
      </c>
    </row>
    <row r="43" spans="1:6" x14ac:dyDescent="0.25">
      <c r="A43" s="6" t="s">
        <v>131</v>
      </c>
      <c r="B43" s="7" t="s">
        <v>132</v>
      </c>
      <c r="C43" s="6" t="s">
        <v>127</v>
      </c>
      <c r="D43" s="6" t="s">
        <v>120</v>
      </c>
      <c r="E43" s="8" t="s">
        <v>121</v>
      </c>
      <c r="F43" s="16">
        <f>12.4+0.4</f>
        <v>12.8</v>
      </c>
    </row>
    <row r="44" spans="1:6" x14ac:dyDescent="0.25">
      <c r="A44" s="6" t="s">
        <v>133</v>
      </c>
      <c r="B44" s="7" t="s">
        <v>134</v>
      </c>
      <c r="C44" s="6" t="s">
        <v>130</v>
      </c>
      <c r="D44" s="6" t="s">
        <v>120</v>
      </c>
      <c r="E44" s="8" t="s">
        <v>121</v>
      </c>
      <c r="F44" s="16">
        <f>13.16+0.4</f>
        <v>13.56</v>
      </c>
    </row>
    <row r="45" spans="1:6" x14ac:dyDescent="0.25">
      <c r="A45" s="6" t="s">
        <v>135</v>
      </c>
      <c r="B45" s="7" t="s">
        <v>136</v>
      </c>
      <c r="C45" s="6" t="s">
        <v>137</v>
      </c>
      <c r="D45" s="6" t="s">
        <v>120</v>
      </c>
      <c r="E45" s="8" t="s">
        <v>121</v>
      </c>
      <c r="F45" s="16">
        <f>F43</f>
        <v>12.8</v>
      </c>
    </row>
    <row r="46" spans="1:6" x14ac:dyDescent="0.25">
      <c r="A46" s="6" t="s">
        <v>138</v>
      </c>
      <c r="B46" s="7" t="s">
        <v>139</v>
      </c>
      <c r="C46" s="6" t="s">
        <v>140</v>
      </c>
      <c r="D46" s="6" t="s">
        <v>120</v>
      </c>
      <c r="E46" s="8" t="s">
        <v>121</v>
      </c>
      <c r="F46" s="16">
        <f>F44</f>
        <v>13.56</v>
      </c>
    </row>
    <row r="47" spans="1:6" x14ac:dyDescent="0.25">
      <c r="A47" s="6" t="s">
        <v>141</v>
      </c>
      <c r="B47" s="7" t="s">
        <v>142</v>
      </c>
      <c r="C47" s="6" t="s">
        <v>127</v>
      </c>
      <c r="D47" s="6" t="s">
        <v>120</v>
      </c>
      <c r="E47" s="8" t="s">
        <v>121</v>
      </c>
      <c r="F47" s="16">
        <f>F43</f>
        <v>12.8</v>
      </c>
    </row>
    <row r="48" spans="1:6" x14ac:dyDescent="0.25">
      <c r="A48" s="6" t="s">
        <v>143</v>
      </c>
      <c r="B48" s="7" t="s">
        <v>144</v>
      </c>
      <c r="C48" s="6" t="s">
        <v>130</v>
      </c>
      <c r="D48" s="6" t="s">
        <v>120</v>
      </c>
      <c r="E48" s="8" t="s">
        <v>121</v>
      </c>
      <c r="F48" s="16">
        <f>F44</f>
        <v>13.56</v>
      </c>
    </row>
    <row r="49" spans="1:6" x14ac:dyDescent="0.25">
      <c r="A49" s="6" t="s">
        <v>145</v>
      </c>
      <c r="B49" s="7" t="s">
        <v>146</v>
      </c>
      <c r="C49" s="6" t="s">
        <v>147</v>
      </c>
      <c r="D49" s="6" t="s">
        <v>120</v>
      </c>
      <c r="E49" s="8" t="s">
        <v>121</v>
      </c>
      <c r="F49" s="17">
        <f>F26+0.4</f>
        <v>13.13</v>
      </c>
    </row>
    <row r="50" spans="1:6" x14ac:dyDescent="0.25">
      <c r="A50" s="6" t="s">
        <v>148</v>
      </c>
      <c r="B50" s="7" t="s">
        <v>149</v>
      </c>
      <c r="C50" s="6" t="s">
        <v>150</v>
      </c>
      <c r="D50" s="6" t="s">
        <v>120</v>
      </c>
      <c r="E50" s="8" t="s">
        <v>121</v>
      </c>
      <c r="F50" s="17">
        <f>F27+0.4</f>
        <v>14.01</v>
      </c>
    </row>
    <row r="51" spans="1:6" ht="24" x14ac:dyDescent="0.25">
      <c r="A51" s="6" t="s">
        <v>151</v>
      </c>
      <c r="B51" s="7" t="s">
        <v>152</v>
      </c>
      <c r="C51" s="6" t="s">
        <v>153</v>
      </c>
      <c r="D51" s="6" t="s">
        <v>120</v>
      </c>
      <c r="E51" s="8" t="s">
        <v>121</v>
      </c>
      <c r="F51" s="17">
        <f>F28+0.4</f>
        <v>9.66</v>
      </c>
    </row>
    <row r="52" spans="1:6" x14ac:dyDescent="0.25">
      <c r="A52" s="6" t="s">
        <v>154</v>
      </c>
      <c r="B52" s="7" t="s">
        <v>155</v>
      </c>
      <c r="C52" s="6" t="s">
        <v>156</v>
      </c>
      <c r="D52" s="6" t="s">
        <v>120</v>
      </c>
      <c r="E52" s="8" t="s">
        <v>121</v>
      </c>
      <c r="F52" s="17">
        <f>F4+0.4</f>
        <v>7.11</v>
      </c>
    </row>
    <row r="53" spans="1:6" x14ac:dyDescent="0.25">
      <c r="A53" s="6" t="s">
        <v>157</v>
      </c>
      <c r="B53" s="7" t="s">
        <v>158</v>
      </c>
      <c r="C53" s="6" t="s">
        <v>159</v>
      </c>
      <c r="D53" s="6" t="s">
        <v>120</v>
      </c>
      <c r="E53" s="8" t="s">
        <v>121</v>
      </c>
      <c r="F53" s="17">
        <f>F5+0.4</f>
        <v>7.8000000000000007</v>
      </c>
    </row>
    <row r="54" spans="1:6" x14ac:dyDescent="0.25">
      <c r="A54" s="6" t="s">
        <v>160</v>
      </c>
      <c r="B54" s="7" t="s">
        <v>161</v>
      </c>
      <c r="C54" s="6" t="s">
        <v>162</v>
      </c>
      <c r="D54" s="6" t="s">
        <v>120</v>
      </c>
      <c r="E54" s="8" t="s">
        <v>121</v>
      </c>
      <c r="F54" s="17">
        <f>F6+0.4</f>
        <v>6.5200000000000005</v>
      </c>
    </row>
    <row r="55" spans="1:6" x14ac:dyDescent="0.25">
      <c r="A55" s="6" t="s">
        <v>163</v>
      </c>
      <c r="B55" s="7" t="s">
        <v>164</v>
      </c>
      <c r="C55" s="6" t="s">
        <v>165</v>
      </c>
      <c r="D55" s="6" t="s">
        <v>120</v>
      </c>
      <c r="E55" s="8" t="s">
        <v>121</v>
      </c>
      <c r="F55" s="17">
        <f>F13+0.4</f>
        <v>8.11</v>
      </c>
    </row>
    <row r="56" spans="1:6" x14ac:dyDescent="0.25">
      <c r="A56" s="6" t="s">
        <v>166</v>
      </c>
      <c r="B56" s="7" t="s">
        <v>167</v>
      </c>
      <c r="C56" s="6" t="s">
        <v>168</v>
      </c>
      <c r="D56" s="6" t="s">
        <v>120</v>
      </c>
      <c r="E56" s="8" t="s">
        <v>121</v>
      </c>
      <c r="F56" s="17">
        <f>F8+0.4</f>
        <v>8.8000000000000007</v>
      </c>
    </row>
    <row r="57" spans="1:6" x14ac:dyDescent="0.25">
      <c r="A57" s="6" t="s">
        <v>169</v>
      </c>
      <c r="B57" s="7" t="s">
        <v>170</v>
      </c>
      <c r="C57" s="6" t="s">
        <v>171</v>
      </c>
      <c r="D57" s="6" t="s">
        <v>120</v>
      </c>
      <c r="E57" s="8" t="s">
        <v>121</v>
      </c>
      <c r="F57" s="16"/>
    </row>
    <row r="58" spans="1:6" x14ac:dyDescent="0.25">
      <c r="A58" s="6" t="s">
        <v>172</v>
      </c>
      <c r="B58" s="7" t="s">
        <v>173</v>
      </c>
      <c r="C58" s="6" t="s">
        <v>174</v>
      </c>
      <c r="D58" s="6" t="s">
        <v>120</v>
      </c>
      <c r="E58" s="8" t="s">
        <v>121</v>
      </c>
      <c r="F58" s="16"/>
    </row>
    <row r="59" spans="1:6" x14ac:dyDescent="0.25">
      <c r="A59" s="6" t="s">
        <v>175</v>
      </c>
      <c r="B59" s="7" t="s">
        <v>176</v>
      </c>
      <c r="C59" s="6" t="s">
        <v>177</v>
      </c>
      <c r="D59" s="6" t="s">
        <v>120</v>
      </c>
      <c r="E59" s="8" t="s">
        <v>121</v>
      </c>
      <c r="F59" s="17">
        <f>F56</f>
        <v>8.8000000000000007</v>
      </c>
    </row>
    <row r="60" spans="1:6" x14ac:dyDescent="0.25">
      <c r="A60" s="6" t="s">
        <v>178</v>
      </c>
      <c r="B60" s="7" t="s">
        <v>179</v>
      </c>
      <c r="C60" s="6" t="s">
        <v>174</v>
      </c>
      <c r="D60" s="6" t="s">
        <v>120</v>
      </c>
      <c r="E60" s="8" t="s">
        <v>121</v>
      </c>
      <c r="F60" s="16"/>
    </row>
    <row r="61" spans="1:6" x14ac:dyDescent="0.25">
      <c r="A61" s="6" t="s">
        <v>180</v>
      </c>
      <c r="B61" s="7" t="s">
        <v>181</v>
      </c>
      <c r="C61" s="6" t="s">
        <v>182</v>
      </c>
      <c r="D61" s="6" t="s">
        <v>120</v>
      </c>
      <c r="E61" s="8" t="s">
        <v>121</v>
      </c>
      <c r="F61" s="16"/>
    </row>
    <row r="62" spans="1:6" x14ac:dyDescent="0.25">
      <c r="A62" s="6" t="s">
        <v>183</v>
      </c>
      <c r="B62" s="7" t="s">
        <v>184</v>
      </c>
      <c r="C62" s="6" t="s">
        <v>185</v>
      </c>
      <c r="D62" s="6" t="s">
        <v>120</v>
      </c>
      <c r="E62" s="8" t="s">
        <v>121</v>
      </c>
      <c r="F62" s="17">
        <f>F56</f>
        <v>8.8000000000000007</v>
      </c>
    </row>
    <row r="63" spans="1:6" x14ac:dyDescent="0.25">
      <c r="A63" s="6" t="s">
        <v>186</v>
      </c>
      <c r="B63" s="7" t="s">
        <v>187</v>
      </c>
      <c r="C63" s="6" t="s">
        <v>182</v>
      </c>
      <c r="D63" s="6" t="s">
        <v>120</v>
      </c>
      <c r="E63" s="8" t="s">
        <v>121</v>
      </c>
      <c r="F63" s="16"/>
    </row>
    <row r="64" spans="1:6" x14ac:dyDescent="0.25">
      <c r="A64" s="6" t="s">
        <v>188</v>
      </c>
      <c r="B64" s="7" t="s">
        <v>189</v>
      </c>
      <c r="C64" s="6" t="s">
        <v>190</v>
      </c>
      <c r="D64" s="6" t="s">
        <v>120</v>
      </c>
      <c r="E64" s="8" t="s">
        <v>121</v>
      </c>
      <c r="F64" s="18">
        <f>F66+0.4</f>
        <v>5.4300000000000006</v>
      </c>
    </row>
    <row r="65" spans="1:6" x14ac:dyDescent="0.25">
      <c r="A65" s="6" t="s">
        <v>191</v>
      </c>
      <c r="B65" s="7" t="s">
        <v>192</v>
      </c>
      <c r="C65" s="6" t="s">
        <v>193</v>
      </c>
      <c r="D65" s="6" t="s">
        <v>120</v>
      </c>
      <c r="E65" s="8" t="s">
        <v>121</v>
      </c>
      <c r="F65" s="19">
        <f>F67+0.4</f>
        <v>4.8400000000000007</v>
      </c>
    </row>
    <row r="66" spans="1:6" ht="20.25" x14ac:dyDescent="0.25">
      <c r="A66" s="2" t="s">
        <v>194</v>
      </c>
      <c r="B66" s="3" t="s">
        <v>195</v>
      </c>
      <c r="C66" s="2" t="s">
        <v>190</v>
      </c>
      <c r="D66" s="2"/>
      <c r="E66" s="2" t="s">
        <v>8</v>
      </c>
      <c r="F66" s="10">
        <v>5.03</v>
      </c>
    </row>
    <row r="67" spans="1:6" ht="20.25" x14ac:dyDescent="0.25">
      <c r="A67" s="4" t="s">
        <v>196</v>
      </c>
      <c r="B67" s="5" t="s">
        <v>197</v>
      </c>
      <c r="C67" s="4" t="s">
        <v>193</v>
      </c>
      <c r="D67" s="4"/>
      <c r="E67" s="4" t="s">
        <v>8</v>
      </c>
      <c r="F67" s="10">
        <v>4.4400000000000004</v>
      </c>
    </row>
    <row r="68" spans="1:6" ht="15" customHeight="1" x14ac:dyDescent="0.25">
      <c r="A68" s="6" t="s">
        <v>198</v>
      </c>
      <c r="B68" s="7" t="s">
        <v>199</v>
      </c>
      <c r="C68" s="6" t="s">
        <v>200</v>
      </c>
      <c r="D68" s="6" t="s">
        <v>120</v>
      </c>
      <c r="E68" s="8" t="s">
        <v>121</v>
      </c>
      <c r="F68" s="15"/>
    </row>
    <row r="69" spans="1:6" x14ac:dyDescent="0.25">
      <c r="A69" s="6" t="s">
        <v>201</v>
      </c>
      <c r="B69" s="7" t="s">
        <v>202</v>
      </c>
      <c r="C69" s="6" t="s">
        <v>203</v>
      </c>
      <c r="D69" s="6" t="s">
        <v>120</v>
      </c>
      <c r="E69" s="8" t="s">
        <v>121</v>
      </c>
      <c r="F69" s="16"/>
    </row>
    <row r="70" spans="1:6" x14ac:dyDescent="0.25">
      <c r="A70" s="6" t="s">
        <v>204</v>
      </c>
      <c r="B70" s="7" t="s">
        <v>205</v>
      </c>
      <c r="C70" s="6" t="s">
        <v>206</v>
      </c>
      <c r="D70" s="6" t="s">
        <v>873</v>
      </c>
      <c r="E70" s="8" t="s">
        <v>121</v>
      </c>
      <c r="F70" s="19">
        <f>F71+0.6</f>
        <v>4.1099999999999994</v>
      </c>
    </row>
    <row r="71" spans="1:6" ht="20.25" x14ac:dyDescent="0.25">
      <c r="A71" s="4" t="s">
        <v>207</v>
      </c>
      <c r="B71" s="5" t="s">
        <v>208</v>
      </c>
      <c r="C71" s="4" t="s">
        <v>206</v>
      </c>
      <c r="D71" s="4"/>
      <c r="E71" s="4" t="s">
        <v>8</v>
      </c>
      <c r="F71" s="11">
        <v>3.51</v>
      </c>
    </row>
    <row r="72" spans="1:6" ht="20.25" x14ac:dyDescent="0.25">
      <c r="A72" s="6" t="s">
        <v>209</v>
      </c>
      <c r="B72" s="7" t="s">
        <v>210</v>
      </c>
      <c r="C72" s="6" t="s">
        <v>211</v>
      </c>
      <c r="D72" s="6" t="s">
        <v>120</v>
      </c>
      <c r="E72" s="8" t="s">
        <v>121</v>
      </c>
      <c r="F72" s="11"/>
    </row>
    <row r="73" spans="1:6" ht="20.25" x14ac:dyDescent="0.25">
      <c r="A73" s="4" t="s">
        <v>212</v>
      </c>
      <c r="B73" s="5" t="s">
        <v>213</v>
      </c>
      <c r="C73" s="4" t="s">
        <v>214</v>
      </c>
      <c r="D73" s="4"/>
      <c r="E73" s="4" t="s">
        <v>8</v>
      </c>
      <c r="F73" s="11">
        <v>2.76</v>
      </c>
    </row>
    <row r="74" spans="1:6" ht="20.25" x14ac:dyDescent="0.25">
      <c r="A74" s="2" t="s">
        <v>215</v>
      </c>
      <c r="B74" s="3" t="s">
        <v>216</v>
      </c>
      <c r="C74" s="2" t="s">
        <v>217</v>
      </c>
      <c r="D74" s="2"/>
      <c r="E74" s="2" t="s">
        <v>8</v>
      </c>
      <c r="F74" s="11">
        <v>6.09</v>
      </c>
    </row>
    <row r="75" spans="1:6" ht="20.25" x14ac:dyDescent="0.25">
      <c r="A75" s="4" t="s">
        <v>218</v>
      </c>
      <c r="B75" s="5" t="s">
        <v>219</v>
      </c>
      <c r="C75" s="4" t="s">
        <v>220</v>
      </c>
      <c r="D75" s="4"/>
      <c r="E75" s="4" t="s">
        <v>8</v>
      </c>
      <c r="F75" s="11">
        <v>6.09</v>
      </c>
    </row>
    <row r="76" spans="1:6" ht="20.25" x14ac:dyDescent="0.25">
      <c r="A76" s="2" t="s">
        <v>221</v>
      </c>
      <c r="B76" s="3" t="s">
        <v>222</v>
      </c>
      <c r="C76" s="2" t="s">
        <v>223</v>
      </c>
      <c r="D76" s="2"/>
      <c r="E76" s="2" t="s">
        <v>8</v>
      </c>
      <c r="F76" s="11">
        <v>6.09</v>
      </c>
    </row>
    <row r="77" spans="1:6" ht="20.25" x14ac:dyDescent="0.25">
      <c r="A77" s="4" t="s">
        <v>224</v>
      </c>
      <c r="B77" s="5" t="s">
        <v>225</v>
      </c>
      <c r="C77" s="4" t="s">
        <v>226</v>
      </c>
      <c r="D77" s="4"/>
      <c r="E77" s="4" t="s">
        <v>8</v>
      </c>
      <c r="F77" s="11">
        <v>6.09</v>
      </c>
    </row>
    <row r="78" spans="1:6" ht="20.25" x14ac:dyDescent="0.25">
      <c r="A78" s="2" t="s">
        <v>227</v>
      </c>
      <c r="B78" s="3" t="s">
        <v>228</v>
      </c>
      <c r="C78" s="2" t="s">
        <v>229</v>
      </c>
      <c r="D78" s="2"/>
      <c r="E78" s="2" t="s">
        <v>8</v>
      </c>
      <c r="F78" s="11">
        <v>6.09</v>
      </c>
    </row>
    <row r="79" spans="1:6" ht="20.25" x14ac:dyDescent="0.25">
      <c r="A79" s="4" t="s">
        <v>230</v>
      </c>
      <c r="B79" s="5" t="s">
        <v>231</v>
      </c>
      <c r="C79" s="4" t="s">
        <v>232</v>
      </c>
      <c r="D79" s="4"/>
      <c r="E79" s="4" t="s">
        <v>8</v>
      </c>
      <c r="F79" s="11">
        <v>6.09</v>
      </c>
    </row>
    <row r="80" spans="1:6" ht="20.25" x14ac:dyDescent="0.25">
      <c r="A80" s="2" t="s">
        <v>233</v>
      </c>
      <c r="B80" s="3" t="s">
        <v>234</v>
      </c>
      <c r="C80" s="2" t="s">
        <v>235</v>
      </c>
      <c r="D80" s="2"/>
      <c r="E80" s="2" t="s">
        <v>8</v>
      </c>
      <c r="F80" s="11">
        <v>6.09</v>
      </c>
    </row>
    <row r="81" spans="1:6" ht="20.25" x14ac:dyDescent="0.25">
      <c r="A81" s="4" t="s">
        <v>236</v>
      </c>
      <c r="B81" s="5" t="s">
        <v>237</v>
      </c>
      <c r="C81" s="4" t="s">
        <v>238</v>
      </c>
      <c r="D81" s="4"/>
      <c r="E81" s="4" t="s">
        <v>8</v>
      </c>
      <c r="F81" s="11">
        <v>6.09</v>
      </c>
    </row>
    <row r="82" spans="1:6" ht="20.25" x14ac:dyDescent="0.25">
      <c r="A82" s="2" t="s">
        <v>239</v>
      </c>
      <c r="B82" s="3" t="s">
        <v>240</v>
      </c>
      <c r="C82" s="2" t="s">
        <v>241</v>
      </c>
      <c r="D82" s="2"/>
      <c r="E82" s="2" t="s">
        <v>8</v>
      </c>
      <c r="F82" s="11">
        <v>6.09</v>
      </c>
    </row>
    <row r="83" spans="1:6" ht="20.25" x14ac:dyDescent="0.25">
      <c r="A83" s="4" t="s">
        <v>242</v>
      </c>
      <c r="B83" s="5" t="s">
        <v>243</v>
      </c>
      <c r="C83" s="4" t="s">
        <v>244</v>
      </c>
      <c r="D83" s="4"/>
      <c r="E83" s="4" t="s">
        <v>8</v>
      </c>
      <c r="F83" s="11">
        <v>6.09</v>
      </c>
    </row>
    <row r="84" spans="1:6" ht="20.25" x14ac:dyDescent="0.25">
      <c r="A84" s="2" t="s">
        <v>245</v>
      </c>
      <c r="B84" s="3" t="s">
        <v>246</v>
      </c>
      <c r="C84" s="2" t="s">
        <v>247</v>
      </c>
      <c r="D84" s="2"/>
      <c r="E84" s="2" t="s">
        <v>8</v>
      </c>
      <c r="F84" s="11">
        <v>6.09</v>
      </c>
    </row>
    <row r="85" spans="1:6" ht="20.25" x14ac:dyDescent="0.25">
      <c r="A85" s="4" t="s">
        <v>248</v>
      </c>
      <c r="B85" s="5" t="s">
        <v>249</v>
      </c>
      <c r="C85" s="4" t="s">
        <v>250</v>
      </c>
      <c r="D85" s="4"/>
      <c r="E85" s="4" t="s">
        <v>8</v>
      </c>
      <c r="F85" s="11">
        <v>6.09</v>
      </c>
    </row>
    <row r="86" spans="1:6" ht="20.25" x14ac:dyDescent="0.25">
      <c r="A86" s="2" t="s">
        <v>251</v>
      </c>
      <c r="B86" s="3" t="s">
        <v>252</v>
      </c>
      <c r="C86" s="2" t="s">
        <v>253</v>
      </c>
      <c r="D86" s="2"/>
      <c r="E86" s="2" t="s">
        <v>8</v>
      </c>
      <c r="F86" s="11">
        <v>6.09</v>
      </c>
    </row>
    <row r="87" spans="1:6" ht="20.25" x14ac:dyDescent="0.25">
      <c r="A87" s="4" t="s">
        <v>254</v>
      </c>
      <c r="B87" s="5" t="s">
        <v>255</v>
      </c>
      <c r="C87" s="4" t="s">
        <v>256</v>
      </c>
      <c r="D87" s="4"/>
      <c r="E87" s="4" t="s">
        <v>8</v>
      </c>
      <c r="F87" s="11">
        <v>6.09</v>
      </c>
    </row>
    <row r="88" spans="1:6" ht="20.25" x14ac:dyDescent="0.25">
      <c r="A88" s="2" t="s">
        <v>257</v>
      </c>
      <c r="B88" s="3" t="s">
        <v>258</v>
      </c>
      <c r="C88" s="2" t="s">
        <v>259</v>
      </c>
      <c r="D88" s="2"/>
      <c r="E88" s="2" t="s">
        <v>8</v>
      </c>
      <c r="F88" s="11">
        <v>6.09</v>
      </c>
    </row>
    <row r="89" spans="1:6" ht="20.25" x14ac:dyDescent="0.25">
      <c r="A89" s="4" t="s">
        <v>260</v>
      </c>
      <c r="B89" s="5" t="s">
        <v>261</v>
      </c>
      <c r="C89" s="4" t="s">
        <v>262</v>
      </c>
      <c r="D89" s="4"/>
      <c r="E89" s="4" t="s">
        <v>8</v>
      </c>
      <c r="F89" s="11">
        <v>6.09</v>
      </c>
    </row>
    <row r="90" spans="1:6" ht="20.25" x14ac:dyDescent="0.25">
      <c r="A90" s="2" t="s">
        <v>263</v>
      </c>
      <c r="B90" s="3" t="s">
        <v>264</v>
      </c>
      <c r="C90" s="2" t="s">
        <v>265</v>
      </c>
      <c r="D90" s="2"/>
      <c r="E90" s="2" t="s">
        <v>8</v>
      </c>
      <c r="F90" s="11">
        <v>6.09</v>
      </c>
    </row>
    <row r="91" spans="1:6" ht="20.25" x14ac:dyDescent="0.25">
      <c r="A91" s="4" t="s">
        <v>266</v>
      </c>
      <c r="B91" s="5" t="s">
        <v>267</v>
      </c>
      <c r="C91" s="4" t="s">
        <v>268</v>
      </c>
      <c r="D91" s="4"/>
      <c r="E91" s="4" t="s">
        <v>8</v>
      </c>
      <c r="F91" s="11">
        <v>6.09</v>
      </c>
    </row>
    <row r="92" spans="1:6" ht="20.25" x14ac:dyDescent="0.25">
      <c r="A92" s="2" t="s">
        <v>269</v>
      </c>
      <c r="B92" s="3" t="s">
        <v>270</v>
      </c>
      <c r="C92" s="2" t="s">
        <v>271</v>
      </c>
      <c r="D92" s="2"/>
      <c r="E92" s="2" t="s">
        <v>8</v>
      </c>
      <c r="F92" s="11">
        <v>6.09</v>
      </c>
    </row>
    <row r="93" spans="1:6" ht="20.25" x14ac:dyDescent="0.25">
      <c r="A93" s="4" t="s">
        <v>272</v>
      </c>
      <c r="B93" s="5" t="s">
        <v>273</v>
      </c>
      <c r="C93" s="4" t="s">
        <v>274</v>
      </c>
      <c r="D93" s="4"/>
      <c r="E93" s="4" t="s">
        <v>8</v>
      </c>
      <c r="F93" s="11">
        <v>6.09</v>
      </c>
    </row>
    <row r="94" spans="1:6" ht="20.25" x14ac:dyDescent="0.25">
      <c r="A94" s="2" t="s">
        <v>275</v>
      </c>
      <c r="B94" s="3" t="s">
        <v>276</v>
      </c>
      <c r="C94" s="2" t="s">
        <v>277</v>
      </c>
      <c r="D94" s="2"/>
      <c r="E94" s="2" t="s">
        <v>8</v>
      </c>
      <c r="F94" s="11">
        <v>6.09</v>
      </c>
    </row>
    <row r="95" spans="1:6" ht="20.25" x14ac:dyDescent="0.25">
      <c r="A95" s="4" t="s">
        <v>278</v>
      </c>
      <c r="B95" s="5" t="s">
        <v>279</v>
      </c>
      <c r="C95" s="4" t="s">
        <v>280</v>
      </c>
      <c r="D95" s="4"/>
      <c r="E95" s="4" t="s">
        <v>8</v>
      </c>
      <c r="F95" s="11">
        <v>6.09</v>
      </c>
    </row>
    <row r="96" spans="1:6" ht="20.25" x14ac:dyDescent="0.25">
      <c r="A96" s="2" t="s">
        <v>281</v>
      </c>
      <c r="B96" s="3" t="s">
        <v>282</v>
      </c>
      <c r="C96" s="2" t="s">
        <v>283</v>
      </c>
      <c r="D96" s="2"/>
      <c r="E96" s="2" t="s">
        <v>8</v>
      </c>
      <c r="F96" s="11">
        <v>6.09</v>
      </c>
    </row>
    <row r="97" spans="1:6" ht="20.25" x14ac:dyDescent="0.25">
      <c r="A97" s="4" t="s">
        <v>284</v>
      </c>
      <c r="B97" s="5" t="s">
        <v>285</v>
      </c>
      <c r="C97" s="4" t="s">
        <v>286</v>
      </c>
      <c r="D97" s="4"/>
      <c r="E97" s="4" t="s">
        <v>8</v>
      </c>
      <c r="F97" s="11">
        <v>6.09</v>
      </c>
    </row>
    <row r="98" spans="1:6" ht="20.25" x14ac:dyDescent="0.25">
      <c r="A98" s="2" t="s">
        <v>287</v>
      </c>
      <c r="B98" s="3" t="s">
        <v>288</v>
      </c>
      <c r="C98" s="2" t="s">
        <v>289</v>
      </c>
      <c r="D98" s="2"/>
      <c r="E98" s="2" t="s">
        <v>8</v>
      </c>
      <c r="F98" s="11">
        <v>6.09</v>
      </c>
    </row>
    <row r="99" spans="1:6" ht="20.25" x14ac:dyDescent="0.25">
      <c r="A99" s="4" t="s">
        <v>290</v>
      </c>
      <c r="B99" s="5" t="s">
        <v>291</v>
      </c>
      <c r="C99" s="4" t="s">
        <v>292</v>
      </c>
      <c r="D99" s="4"/>
      <c r="E99" s="4" t="s">
        <v>8</v>
      </c>
      <c r="F99" s="11">
        <v>6.09</v>
      </c>
    </row>
    <row r="100" spans="1:6" ht="20.25" x14ac:dyDescent="0.25">
      <c r="A100" s="2" t="s">
        <v>293</v>
      </c>
      <c r="B100" s="3" t="s">
        <v>294</v>
      </c>
      <c r="C100" s="2" t="s">
        <v>295</v>
      </c>
      <c r="D100" s="2"/>
      <c r="E100" s="2" t="s">
        <v>8</v>
      </c>
      <c r="F100" s="11">
        <v>6.09</v>
      </c>
    </row>
    <row r="101" spans="1:6" ht="20.25" x14ac:dyDescent="0.25">
      <c r="A101" s="4" t="s">
        <v>296</v>
      </c>
      <c r="B101" s="5" t="s">
        <v>297</v>
      </c>
      <c r="C101" s="4" t="s">
        <v>298</v>
      </c>
      <c r="D101" s="4"/>
      <c r="E101" s="4" t="s">
        <v>8</v>
      </c>
      <c r="F101" s="11">
        <v>6.09</v>
      </c>
    </row>
    <row r="102" spans="1:6" ht="20.25" x14ac:dyDescent="0.25">
      <c r="A102" s="2" t="s">
        <v>299</v>
      </c>
      <c r="B102" s="3" t="s">
        <v>300</v>
      </c>
      <c r="C102" s="2" t="s">
        <v>301</v>
      </c>
      <c r="D102" s="2"/>
      <c r="E102" s="2" t="s">
        <v>8</v>
      </c>
      <c r="F102" s="11">
        <v>6.09</v>
      </c>
    </row>
    <row r="103" spans="1:6" ht="20.25" x14ac:dyDescent="0.25">
      <c r="A103" s="4" t="s">
        <v>302</v>
      </c>
      <c r="B103" s="5" t="s">
        <v>303</v>
      </c>
      <c r="C103" s="4" t="s">
        <v>304</v>
      </c>
      <c r="D103" s="4"/>
      <c r="E103" s="4" t="s">
        <v>8</v>
      </c>
      <c r="F103" s="11">
        <v>6.09</v>
      </c>
    </row>
    <row r="104" spans="1:6" ht="20.25" x14ac:dyDescent="0.25">
      <c r="A104" s="2" t="s">
        <v>305</v>
      </c>
      <c r="B104" s="3" t="s">
        <v>306</v>
      </c>
      <c r="C104" s="2" t="s">
        <v>307</v>
      </c>
      <c r="D104" s="2"/>
      <c r="E104" s="2" t="s">
        <v>8</v>
      </c>
      <c r="F104" s="11">
        <v>6.09</v>
      </c>
    </row>
    <row r="105" spans="1:6" ht="20.25" x14ac:dyDescent="0.25">
      <c r="A105" s="4" t="s">
        <v>308</v>
      </c>
      <c r="B105" s="5" t="s">
        <v>309</v>
      </c>
      <c r="C105" s="4" t="s">
        <v>310</v>
      </c>
      <c r="D105" s="4"/>
      <c r="E105" s="4" t="s">
        <v>8</v>
      </c>
      <c r="F105" s="11">
        <v>6.09</v>
      </c>
    </row>
    <row r="106" spans="1:6" ht="20.25" x14ac:dyDescent="0.25">
      <c r="A106" s="2" t="s">
        <v>311</v>
      </c>
      <c r="B106" s="3" t="s">
        <v>312</v>
      </c>
      <c r="C106" s="2" t="s">
        <v>313</v>
      </c>
      <c r="D106" s="2"/>
      <c r="E106" s="2" t="s">
        <v>8</v>
      </c>
      <c r="F106" s="11">
        <v>6.09</v>
      </c>
    </row>
    <row r="107" spans="1:6" ht="20.25" x14ac:dyDescent="0.25">
      <c r="A107" s="4" t="s">
        <v>314</v>
      </c>
      <c r="B107" s="5" t="s">
        <v>315</v>
      </c>
      <c r="C107" s="4" t="s">
        <v>316</v>
      </c>
      <c r="D107" s="4"/>
      <c r="E107" s="4" t="s">
        <v>8</v>
      </c>
      <c r="F107" s="11">
        <v>6.09</v>
      </c>
    </row>
    <row r="108" spans="1:6" ht="20.25" x14ac:dyDescent="0.25">
      <c r="A108" s="2" t="s">
        <v>317</v>
      </c>
      <c r="B108" s="3" t="s">
        <v>318</v>
      </c>
      <c r="C108" s="2" t="s">
        <v>319</v>
      </c>
      <c r="D108" s="2"/>
      <c r="E108" s="2" t="s">
        <v>8</v>
      </c>
      <c r="F108" s="11">
        <v>6.09</v>
      </c>
    </row>
    <row r="109" spans="1:6" ht="20.25" x14ac:dyDescent="0.25">
      <c r="A109" s="4" t="s">
        <v>320</v>
      </c>
      <c r="B109" s="5" t="s">
        <v>321</v>
      </c>
      <c r="C109" s="4" t="s">
        <v>322</v>
      </c>
      <c r="D109" s="4"/>
      <c r="E109" s="4" t="s">
        <v>8</v>
      </c>
      <c r="F109" s="11">
        <v>6.09</v>
      </c>
    </row>
    <row r="110" spans="1:6" ht="20.25" x14ac:dyDescent="0.25">
      <c r="A110" s="2" t="s">
        <v>323</v>
      </c>
      <c r="B110" s="3" t="s">
        <v>324</v>
      </c>
      <c r="C110" s="2" t="s">
        <v>325</v>
      </c>
      <c r="D110" s="2"/>
      <c r="E110" s="2" t="s">
        <v>8</v>
      </c>
      <c r="F110" s="11">
        <v>6.09</v>
      </c>
    </row>
    <row r="111" spans="1:6" ht="20.25" x14ac:dyDescent="0.25">
      <c r="A111" s="4" t="s">
        <v>326</v>
      </c>
      <c r="B111" s="5" t="s">
        <v>327</v>
      </c>
      <c r="C111" s="4" t="s">
        <v>328</v>
      </c>
      <c r="D111" s="4"/>
      <c r="E111" s="4" t="s">
        <v>8</v>
      </c>
      <c r="F111" s="11">
        <v>6.09</v>
      </c>
    </row>
    <row r="112" spans="1:6" ht="20.25" x14ac:dyDescent="0.25">
      <c r="A112" s="2" t="s">
        <v>329</v>
      </c>
      <c r="B112" s="3" t="s">
        <v>330</v>
      </c>
      <c r="C112" s="2" t="s">
        <v>331</v>
      </c>
      <c r="D112" s="2"/>
      <c r="E112" s="2" t="s">
        <v>8</v>
      </c>
      <c r="F112" s="11">
        <v>6.09</v>
      </c>
    </row>
    <row r="113" spans="1:6" ht="20.25" x14ac:dyDescent="0.25">
      <c r="A113" s="4" t="s">
        <v>332</v>
      </c>
      <c r="B113" s="5" t="s">
        <v>333</v>
      </c>
      <c r="C113" s="4" t="s">
        <v>334</v>
      </c>
      <c r="D113" s="4"/>
      <c r="E113" s="4" t="s">
        <v>8</v>
      </c>
      <c r="F113" s="11">
        <v>6.09</v>
      </c>
    </row>
    <row r="114" spans="1:6" ht="20.25" x14ac:dyDescent="0.25">
      <c r="A114" s="2" t="s">
        <v>335</v>
      </c>
      <c r="B114" s="3" t="s">
        <v>336</v>
      </c>
      <c r="C114" s="2" t="s">
        <v>337</v>
      </c>
      <c r="D114" s="2"/>
      <c r="E114" s="2" t="s">
        <v>8</v>
      </c>
      <c r="F114" s="11">
        <v>6.09</v>
      </c>
    </row>
    <row r="115" spans="1:6" ht="20.25" x14ac:dyDescent="0.25">
      <c r="A115" s="6" t="s">
        <v>338</v>
      </c>
      <c r="B115" s="7" t="s">
        <v>339</v>
      </c>
      <c r="C115" s="6" t="s">
        <v>340</v>
      </c>
      <c r="D115" s="6" t="s">
        <v>120</v>
      </c>
      <c r="E115" s="8" t="s">
        <v>121</v>
      </c>
      <c r="F115" s="10">
        <f>F116+0.4</f>
        <v>6.12</v>
      </c>
    </row>
    <row r="116" spans="1:6" ht="20.25" x14ac:dyDescent="0.25">
      <c r="A116" s="2" t="s">
        <v>341</v>
      </c>
      <c r="B116" s="3" t="s">
        <v>342</v>
      </c>
      <c r="C116" s="2" t="s">
        <v>340</v>
      </c>
      <c r="D116" s="2"/>
      <c r="E116" s="2" t="s">
        <v>8</v>
      </c>
      <c r="F116" s="10">
        <v>5.72</v>
      </c>
    </row>
    <row r="117" spans="1:6" ht="20.25" x14ac:dyDescent="0.25">
      <c r="A117" s="4" t="s">
        <v>343</v>
      </c>
      <c r="B117" s="5" t="s">
        <v>344</v>
      </c>
      <c r="C117" s="4" t="s">
        <v>345</v>
      </c>
      <c r="D117" s="4"/>
      <c r="E117" s="4" t="s">
        <v>8</v>
      </c>
      <c r="F117" s="10">
        <v>19</v>
      </c>
    </row>
    <row r="118" spans="1:6" ht="20.25" x14ac:dyDescent="0.25">
      <c r="A118" s="2" t="s">
        <v>346</v>
      </c>
      <c r="B118" s="3" t="s">
        <v>347</v>
      </c>
      <c r="C118" s="2" t="s">
        <v>348</v>
      </c>
      <c r="D118" s="2"/>
      <c r="E118" s="2" t="s">
        <v>8</v>
      </c>
      <c r="F118" s="10">
        <v>1</v>
      </c>
    </row>
    <row r="119" spans="1:6" ht="20.25" x14ac:dyDescent="0.25">
      <c r="A119" s="4" t="s">
        <v>349</v>
      </c>
      <c r="B119" s="5" t="s">
        <v>350</v>
      </c>
      <c r="C119" s="4" t="s">
        <v>351</v>
      </c>
      <c r="D119" s="4"/>
      <c r="E119" s="4" t="s">
        <v>8</v>
      </c>
      <c r="F119" s="10">
        <v>275</v>
      </c>
    </row>
    <row r="120" spans="1:6" ht="20.25" x14ac:dyDescent="0.25">
      <c r="A120" s="2" t="s">
        <v>352</v>
      </c>
      <c r="B120" s="3" t="s">
        <v>353</v>
      </c>
      <c r="C120" s="2" t="s">
        <v>354</v>
      </c>
      <c r="D120" s="2"/>
      <c r="E120" s="2" t="s">
        <v>8</v>
      </c>
      <c r="F120" s="10">
        <v>50</v>
      </c>
    </row>
    <row r="121" spans="1:6" ht="20.25" x14ac:dyDescent="0.25">
      <c r="A121" s="4" t="s">
        <v>355</v>
      </c>
      <c r="B121" s="5" t="s">
        <v>356</v>
      </c>
      <c r="C121" s="4" t="s">
        <v>357</v>
      </c>
      <c r="D121" s="4"/>
      <c r="E121" s="4" t="s">
        <v>8</v>
      </c>
      <c r="F121" s="10">
        <v>0.6</v>
      </c>
    </row>
    <row r="122" spans="1:6" ht="20.25" x14ac:dyDescent="0.25">
      <c r="A122" s="2" t="s">
        <v>358</v>
      </c>
      <c r="B122" s="3" t="s">
        <v>359</v>
      </c>
      <c r="C122" s="2" t="s">
        <v>360</v>
      </c>
      <c r="D122" s="2"/>
      <c r="E122" s="2" t="s">
        <v>8</v>
      </c>
      <c r="F122" s="10">
        <v>10.26</v>
      </c>
    </row>
    <row r="123" spans="1:6" ht="20.25" x14ac:dyDescent="0.25">
      <c r="A123" s="4" t="s">
        <v>361</v>
      </c>
      <c r="B123" s="5" t="s">
        <v>362</v>
      </c>
      <c r="C123" s="4" t="s">
        <v>870</v>
      </c>
      <c r="D123" s="4"/>
      <c r="E123" s="4" t="s">
        <v>8</v>
      </c>
      <c r="F123" s="10">
        <v>10.26</v>
      </c>
    </row>
    <row r="124" spans="1:6" ht="20.25" x14ac:dyDescent="0.25">
      <c r="A124" s="2" t="s">
        <v>363</v>
      </c>
      <c r="B124" s="3" t="s">
        <v>364</v>
      </c>
      <c r="C124" s="2" t="s">
        <v>365</v>
      </c>
      <c r="D124" s="2"/>
      <c r="E124" s="2" t="s">
        <v>8</v>
      </c>
      <c r="F124" s="10">
        <v>4.67</v>
      </c>
    </row>
    <row r="125" spans="1:6" ht="20.25" x14ac:dyDescent="0.25">
      <c r="A125" s="4" t="s">
        <v>366</v>
      </c>
      <c r="B125" s="5" t="s">
        <v>367</v>
      </c>
      <c r="C125" s="4" t="s">
        <v>368</v>
      </c>
      <c r="D125" s="4"/>
      <c r="E125" s="4" t="s">
        <v>8</v>
      </c>
      <c r="F125" s="10">
        <v>4.67</v>
      </c>
    </row>
    <row r="126" spans="1:6" ht="20.25" x14ac:dyDescent="0.25">
      <c r="A126" s="2" t="s">
        <v>369</v>
      </c>
      <c r="B126" s="3" t="s">
        <v>370</v>
      </c>
      <c r="C126" s="2" t="s">
        <v>371</v>
      </c>
      <c r="D126" s="2"/>
      <c r="E126" s="2" t="s">
        <v>8</v>
      </c>
      <c r="F126" s="10">
        <v>4.67</v>
      </c>
    </row>
    <row r="127" spans="1:6" ht="20.25" x14ac:dyDescent="0.25">
      <c r="A127" s="4" t="s">
        <v>372</v>
      </c>
      <c r="B127" s="5" t="s">
        <v>373</v>
      </c>
      <c r="C127" s="4" t="s">
        <v>374</v>
      </c>
      <c r="D127" s="4"/>
      <c r="E127" s="4" t="s">
        <v>8</v>
      </c>
      <c r="F127" s="10">
        <v>4.67</v>
      </c>
    </row>
    <row r="128" spans="1:6" ht="20.25" x14ac:dyDescent="0.25">
      <c r="A128" s="6" t="s">
        <v>375</v>
      </c>
      <c r="B128" s="7" t="s">
        <v>376</v>
      </c>
      <c r="C128" s="6" t="s">
        <v>377</v>
      </c>
      <c r="D128" s="6" t="s">
        <v>378</v>
      </c>
      <c r="E128" s="8" t="s">
        <v>121</v>
      </c>
      <c r="F128" s="10">
        <v>11</v>
      </c>
    </row>
    <row r="129" spans="1:6" ht="20.25" x14ac:dyDescent="0.25">
      <c r="A129" s="6" t="s">
        <v>379</v>
      </c>
      <c r="B129" s="7" t="s">
        <v>380</v>
      </c>
      <c r="C129" s="6" t="s">
        <v>377</v>
      </c>
      <c r="D129" s="6" t="s">
        <v>381</v>
      </c>
      <c r="E129" s="8" t="s">
        <v>121</v>
      </c>
      <c r="F129" s="10">
        <v>13.5</v>
      </c>
    </row>
    <row r="130" spans="1:6" x14ac:dyDescent="0.25">
      <c r="A130" s="2" t="s">
        <v>108</v>
      </c>
      <c r="B130" s="3" t="s">
        <v>109</v>
      </c>
      <c r="C130" s="2" t="s">
        <v>110</v>
      </c>
      <c r="D130" s="2"/>
      <c r="E130" s="2" t="s">
        <v>8</v>
      </c>
      <c r="F130" s="12" t="s">
        <v>871</v>
      </c>
    </row>
    <row r="131" spans="1:6" x14ac:dyDescent="0.25">
      <c r="A131" s="4" t="s">
        <v>111</v>
      </c>
      <c r="B131" s="5" t="s">
        <v>112</v>
      </c>
      <c r="C131" s="4" t="s">
        <v>113</v>
      </c>
      <c r="D131" s="4"/>
      <c r="E131" s="4" t="s">
        <v>8</v>
      </c>
      <c r="F131" s="13"/>
    </row>
    <row r="132" spans="1:6" x14ac:dyDescent="0.25">
      <c r="A132" s="2" t="s">
        <v>114</v>
      </c>
      <c r="B132" s="3" t="s">
        <v>115</v>
      </c>
      <c r="C132" s="2" t="s">
        <v>116</v>
      </c>
      <c r="D132" s="2"/>
      <c r="E132" s="2" t="s">
        <v>8</v>
      </c>
      <c r="F132" s="14"/>
    </row>
    <row r="133" spans="1:6" ht="24" x14ac:dyDescent="0.25">
      <c r="A133" s="4" t="s">
        <v>382</v>
      </c>
      <c r="B133" s="5" t="s">
        <v>383</v>
      </c>
      <c r="C133" s="4" t="s">
        <v>384</v>
      </c>
      <c r="D133" s="4"/>
      <c r="E133" s="4" t="s">
        <v>8</v>
      </c>
      <c r="F133" s="10">
        <v>41.97</v>
      </c>
    </row>
    <row r="134" spans="1:6" ht="24" x14ac:dyDescent="0.25">
      <c r="A134" s="2" t="s">
        <v>385</v>
      </c>
      <c r="B134" s="3" t="s">
        <v>386</v>
      </c>
      <c r="C134" s="2" t="s">
        <v>387</v>
      </c>
      <c r="D134" s="2"/>
      <c r="E134" s="2" t="s">
        <v>8</v>
      </c>
      <c r="F134" s="10">
        <v>59.94</v>
      </c>
    </row>
    <row r="135" spans="1:6" ht="24" x14ac:dyDescent="0.25">
      <c r="A135" s="4" t="s">
        <v>388</v>
      </c>
      <c r="B135" s="5" t="s">
        <v>389</v>
      </c>
      <c r="C135" s="4" t="s">
        <v>390</v>
      </c>
      <c r="D135" s="4"/>
      <c r="E135" s="4" t="s">
        <v>8</v>
      </c>
      <c r="F135" s="10">
        <v>77.91</v>
      </c>
    </row>
    <row r="136" spans="1:6" ht="24" x14ac:dyDescent="0.25">
      <c r="A136" s="2" t="s">
        <v>391</v>
      </c>
      <c r="B136" s="3" t="s">
        <v>392</v>
      </c>
      <c r="C136" s="2" t="s">
        <v>393</v>
      </c>
      <c r="D136" s="2"/>
      <c r="E136" s="2" t="s">
        <v>8</v>
      </c>
      <c r="F136" s="10">
        <v>95.88</v>
      </c>
    </row>
    <row r="137" spans="1:6" ht="24" x14ac:dyDescent="0.25">
      <c r="A137" s="4" t="s">
        <v>394</v>
      </c>
      <c r="B137" s="5" t="s">
        <v>395</v>
      </c>
      <c r="C137" s="4" t="s">
        <v>396</v>
      </c>
      <c r="D137" s="4"/>
      <c r="E137" s="4" t="s">
        <v>8</v>
      </c>
      <c r="F137" s="10">
        <v>113.85</v>
      </c>
    </row>
    <row r="138" spans="1:6" ht="24" x14ac:dyDescent="0.25">
      <c r="A138" s="2" t="s">
        <v>397</v>
      </c>
      <c r="B138" s="3" t="s">
        <v>398</v>
      </c>
      <c r="C138" s="2" t="s">
        <v>399</v>
      </c>
      <c r="D138" s="2"/>
      <c r="E138" s="2" t="s">
        <v>8</v>
      </c>
      <c r="F138" s="10">
        <v>131.82</v>
      </c>
    </row>
    <row r="139" spans="1:6" ht="24" x14ac:dyDescent="0.25">
      <c r="A139" s="4" t="s">
        <v>400</v>
      </c>
      <c r="B139" s="5" t="s">
        <v>401</v>
      </c>
      <c r="C139" s="4" t="s">
        <v>402</v>
      </c>
      <c r="D139" s="4"/>
      <c r="E139" s="4" t="s">
        <v>8</v>
      </c>
      <c r="F139" s="10">
        <v>149.79</v>
      </c>
    </row>
    <row r="140" spans="1:6" ht="24" x14ac:dyDescent="0.25">
      <c r="A140" s="2" t="s">
        <v>403</v>
      </c>
      <c r="B140" s="3" t="s">
        <v>404</v>
      </c>
      <c r="C140" s="2" t="s">
        <v>405</v>
      </c>
      <c r="D140" s="2"/>
      <c r="E140" s="2" t="s">
        <v>8</v>
      </c>
      <c r="F140" s="10">
        <v>167.76</v>
      </c>
    </row>
    <row r="141" spans="1:6" ht="24" x14ac:dyDescent="0.25">
      <c r="A141" s="4" t="s">
        <v>406</v>
      </c>
      <c r="B141" s="5" t="s">
        <v>407</v>
      </c>
      <c r="C141" s="4" t="s">
        <v>408</v>
      </c>
      <c r="D141" s="4"/>
      <c r="E141" s="4" t="s">
        <v>8</v>
      </c>
      <c r="F141" s="10">
        <v>185.73</v>
      </c>
    </row>
    <row r="142" spans="1:6" ht="24" x14ac:dyDescent="0.25">
      <c r="A142" s="2" t="s">
        <v>409</v>
      </c>
      <c r="B142" s="3" t="s">
        <v>410</v>
      </c>
      <c r="C142" s="2" t="s">
        <v>411</v>
      </c>
      <c r="D142" s="2"/>
      <c r="E142" s="2" t="s">
        <v>8</v>
      </c>
      <c r="F142" s="10">
        <v>203.7</v>
      </c>
    </row>
    <row r="143" spans="1:6" ht="24" x14ac:dyDescent="0.25">
      <c r="A143" s="4" t="s">
        <v>412</v>
      </c>
      <c r="B143" s="5" t="s">
        <v>413</v>
      </c>
      <c r="C143" s="4" t="s">
        <v>414</v>
      </c>
      <c r="D143" s="4"/>
      <c r="E143" s="4" t="s">
        <v>8</v>
      </c>
      <c r="F143" s="10">
        <v>221.67</v>
      </c>
    </row>
    <row r="144" spans="1:6" ht="24" x14ac:dyDescent="0.25">
      <c r="A144" s="2" t="s">
        <v>415</v>
      </c>
      <c r="B144" s="3" t="s">
        <v>416</v>
      </c>
      <c r="C144" s="2" t="s">
        <v>417</v>
      </c>
      <c r="D144" s="2"/>
      <c r="E144" s="2" t="s">
        <v>8</v>
      </c>
      <c r="F144" s="10">
        <v>239.64</v>
      </c>
    </row>
    <row r="145" spans="1:6" ht="24" x14ac:dyDescent="0.25">
      <c r="A145" s="4" t="s">
        <v>418</v>
      </c>
      <c r="B145" s="5" t="s">
        <v>419</v>
      </c>
      <c r="C145" s="4" t="s">
        <v>420</v>
      </c>
      <c r="D145" s="4"/>
      <c r="E145" s="4" t="s">
        <v>8</v>
      </c>
      <c r="F145" s="10">
        <v>257.61</v>
      </c>
    </row>
    <row r="146" spans="1:6" ht="24" x14ac:dyDescent="0.25">
      <c r="A146" s="2" t="s">
        <v>421</v>
      </c>
      <c r="B146" s="3" t="s">
        <v>422</v>
      </c>
      <c r="C146" s="2" t="s">
        <v>423</v>
      </c>
      <c r="D146" s="2"/>
      <c r="E146" s="2" t="s">
        <v>8</v>
      </c>
      <c r="F146" s="10">
        <v>275.58000000000004</v>
      </c>
    </row>
    <row r="147" spans="1:6" ht="24" x14ac:dyDescent="0.25">
      <c r="A147" s="4" t="s">
        <v>424</v>
      </c>
      <c r="B147" s="5" t="s">
        <v>425</v>
      </c>
      <c r="C147" s="4" t="s">
        <v>426</v>
      </c>
      <c r="D147" s="4"/>
      <c r="E147" s="4" t="s">
        <v>8</v>
      </c>
      <c r="F147" s="10">
        <v>293.55000000000007</v>
      </c>
    </row>
    <row r="148" spans="1:6" ht="24" x14ac:dyDescent="0.25">
      <c r="A148" s="2" t="s">
        <v>427</v>
      </c>
      <c r="B148" s="3" t="s">
        <v>428</v>
      </c>
      <c r="C148" s="2" t="s">
        <v>429</v>
      </c>
      <c r="D148" s="2"/>
      <c r="E148" s="2" t="s">
        <v>8</v>
      </c>
      <c r="F148" s="10">
        <v>311.5200000000001</v>
      </c>
    </row>
    <row r="149" spans="1:6" ht="24" x14ac:dyDescent="0.25">
      <c r="A149" s="4" t="s">
        <v>430</v>
      </c>
      <c r="B149" s="5" t="s">
        <v>431</v>
      </c>
      <c r="C149" s="4" t="s">
        <v>432</v>
      </c>
      <c r="D149" s="4"/>
      <c r="E149" s="4" t="s">
        <v>8</v>
      </c>
      <c r="F149" s="10">
        <v>329.49000000000012</v>
      </c>
    </row>
    <row r="150" spans="1:6" ht="24" x14ac:dyDescent="0.25">
      <c r="A150" s="2" t="s">
        <v>433</v>
      </c>
      <c r="B150" s="3" t="s">
        <v>434</v>
      </c>
      <c r="C150" s="2" t="s">
        <v>435</v>
      </c>
      <c r="D150" s="2"/>
      <c r="E150" s="2" t="s">
        <v>8</v>
      </c>
      <c r="F150" s="10">
        <v>347.46000000000015</v>
      </c>
    </row>
    <row r="151" spans="1:6" ht="24" x14ac:dyDescent="0.25">
      <c r="A151" s="4" t="s">
        <v>436</v>
      </c>
      <c r="B151" s="5" t="s">
        <v>437</v>
      </c>
      <c r="C151" s="4" t="s">
        <v>438</v>
      </c>
      <c r="D151" s="4"/>
      <c r="E151" s="4" t="s">
        <v>8</v>
      </c>
      <c r="F151" s="10">
        <v>365.43000000000018</v>
      </c>
    </row>
    <row r="152" spans="1:6" ht="24" x14ac:dyDescent="0.25">
      <c r="A152" s="2" t="s">
        <v>439</v>
      </c>
      <c r="B152" s="3" t="s">
        <v>440</v>
      </c>
      <c r="C152" s="2" t="s">
        <v>441</v>
      </c>
      <c r="D152" s="2"/>
      <c r="E152" s="2" t="s">
        <v>8</v>
      </c>
      <c r="F152" s="10">
        <v>35.94</v>
      </c>
    </row>
    <row r="153" spans="1:6" ht="24" x14ac:dyDescent="0.25">
      <c r="A153" s="4" t="s">
        <v>442</v>
      </c>
      <c r="B153" s="5" t="s">
        <v>443</v>
      </c>
      <c r="C153" s="4" t="s">
        <v>444</v>
      </c>
      <c r="D153" s="4"/>
      <c r="E153" s="4" t="s">
        <v>8</v>
      </c>
      <c r="F153" s="10">
        <v>53.91</v>
      </c>
    </row>
    <row r="154" spans="1:6" ht="24" x14ac:dyDescent="0.25">
      <c r="A154" s="2" t="s">
        <v>445</v>
      </c>
      <c r="B154" s="3" t="s">
        <v>446</v>
      </c>
      <c r="C154" s="2" t="s">
        <v>447</v>
      </c>
      <c r="D154" s="2"/>
      <c r="E154" s="2" t="s">
        <v>8</v>
      </c>
      <c r="F154" s="10">
        <v>71.88</v>
      </c>
    </row>
    <row r="155" spans="1:6" ht="24" x14ac:dyDescent="0.25">
      <c r="A155" s="4" t="s">
        <v>448</v>
      </c>
      <c r="B155" s="5" t="s">
        <v>449</v>
      </c>
      <c r="C155" s="4" t="s">
        <v>450</v>
      </c>
      <c r="D155" s="4"/>
      <c r="E155" s="4" t="s">
        <v>8</v>
      </c>
      <c r="F155" s="10">
        <v>89.85</v>
      </c>
    </row>
    <row r="156" spans="1:6" ht="24" x14ac:dyDescent="0.25">
      <c r="A156" s="2" t="s">
        <v>451</v>
      </c>
      <c r="B156" s="3" t="s">
        <v>452</v>
      </c>
      <c r="C156" s="2" t="s">
        <v>453</v>
      </c>
      <c r="D156" s="2"/>
      <c r="E156" s="2" t="s">
        <v>8</v>
      </c>
      <c r="F156" s="10">
        <v>107.82</v>
      </c>
    </row>
    <row r="157" spans="1:6" ht="24" x14ac:dyDescent="0.25">
      <c r="A157" s="4" t="s">
        <v>454</v>
      </c>
      <c r="B157" s="5" t="s">
        <v>455</v>
      </c>
      <c r="C157" s="4" t="s">
        <v>456</v>
      </c>
      <c r="D157" s="4"/>
      <c r="E157" s="4" t="s">
        <v>8</v>
      </c>
      <c r="F157" s="10">
        <v>125.78999999999999</v>
      </c>
    </row>
    <row r="158" spans="1:6" ht="24" x14ac:dyDescent="0.25">
      <c r="A158" s="2" t="s">
        <v>457</v>
      </c>
      <c r="B158" s="3" t="s">
        <v>458</v>
      </c>
      <c r="C158" s="2" t="s">
        <v>459</v>
      </c>
      <c r="D158" s="2"/>
      <c r="E158" s="2" t="s">
        <v>8</v>
      </c>
      <c r="F158" s="10">
        <v>143.76</v>
      </c>
    </row>
    <row r="159" spans="1:6" ht="24" x14ac:dyDescent="0.25">
      <c r="A159" s="4" t="s">
        <v>460</v>
      </c>
      <c r="B159" s="5" t="s">
        <v>461</v>
      </c>
      <c r="C159" s="4" t="s">
        <v>462</v>
      </c>
      <c r="D159" s="4"/>
      <c r="E159" s="4" t="s">
        <v>8</v>
      </c>
      <c r="F159" s="10">
        <v>161.72999999999999</v>
      </c>
    </row>
    <row r="160" spans="1:6" ht="24" x14ac:dyDescent="0.25">
      <c r="A160" s="2" t="s">
        <v>463</v>
      </c>
      <c r="B160" s="3" t="s">
        <v>464</v>
      </c>
      <c r="C160" s="2" t="s">
        <v>465</v>
      </c>
      <c r="D160" s="2"/>
      <c r="E160" s="2" t="s">
        <v>8</v>
      </c>
      <c r="F160" s="10">
        <v>179.7</v>
      </c>
    </row>
    <row r="161" spans="1:6" ht="24" x14ac:dyDescent="0.25">
      <c r="A161" s="4" t="s">
        <v>466</v>
      </c>
      <c r="B161" s="5" t="s">
        <v>467</v>
      </c>
      <c r="C161" s="4" t="s">
        <v>468</v>
      </c>
      <c r="D161" s="4"/>
      <c r="E161" s="4" t="s">
        <v>8</v>
      </c>
      <c r="F161" s="10">
        <v>197.67</v>
      </c>
    </row>
    <row r="162" spans="1:6" ht="24" x14ac:dyDescent="0.25">
      <c r="A162" s="2" t="s">
        <v>469</v>
      </c>
      <c r="B162" s="3" t="s">
        <v>470</v>
      </c>
      <c r="C162" s="2" t="s">
        <v>471</v>
      </c>
      <c r="D162" s="2"/>
      <c r="E162" s="2" t="s">
        <v>8</v>
      </c>
      <c r="F162" s="10">
        <v>215.64</v>
      </c>
    </row>
    <row r="163" spans="1:6" ht="24" x14ac:dyDescent="0.25">
      <c r="A163" s="4" t="s">
        <v>472</v>
      </c>
      <c r="B163" s="5" t="s">
        <v>473</v>
      </c>
      <c r="C163" s="4" t="s">
        <v>474</v>
      </c>
      <c r="D163" s="4"/>
      <c r="E163" s="4" t="s">
        <v>8</v>
      </c>
      <c r="F163" s="10">
        <v>233.60999999999999</v>
      </c>
    </row>
    <row r="164" spans="1:6" ht="24" x14ac:dyDescent="0.25">
      <c r="A164" s="2" t="s">
        <v>475</v>
      </c>
      <c r="B164" s="3" t="s">
        <v>476</v>
      </c>
      <c r="C164" s="2" t="s">
        <v>477</v>
      </c>
      <c r="D164" s="2"/>
      <c r="E164" s="2" t="s">
        <v>8</v>
      </c>
      <c r="F164" s="10">
        <v>251.57999999999998</v>
      </c>
    </row>
    <row r="165" spans="1:6" ht="24" x14ac:dyDescent="0.25">
      <c r="A165" s="4" t="s">
        <v>478</v>
      </c>
      <c r="B165" s="5" t="s">
        <v>479</v>
      </c>
      <c r="C165" s="4" t="s">
        <v>480</v>
      </c>
      <c r="D165" s="4"/>
      <c r="E165" s="4" t="s">
        <v>8</v>
      </c>
      <c r="F165" s="10">
        <v>269.54999999999995</v>
      </c>
    </row>
    <row r="166" spans="1:6" ht="24" x14ac:dyDescent="0.25">
      <c r="A166" s="2" t="s">
        <v>481</v>
      </c>
      <c r="B166" s="3" t="s">
        <v>482</v>
      </c>
      <c r="C166" s="2" t="s">
        <v>483</v>
      </c>
      <c r="D166" s="2"/>
      <c r="E166" s="2" t="s">
        <v>8</v>
      </c>
      <c r="F166" s="10">
        <v>287.52</v>
      </c>
    </row>
    <row r="167" spans="1:6" ht="24" x14ac:dyDescent="0.25">
      <c r="A167" s="4" t="s">
        <v>484</v>
      </c>
      <c r="B167" s="5" t="s">
        <v>485</v>
      </c>
      <c r="C167" s="4" t="s">
        <v>486</v>
      </c>
      <c r="D167" s="4"/>
      <c r="E167" s="4" t="s">
        <v>8</v>
      </c>
      <c r="F167" s="10">
        <v>305.49</v>
      </c>
    </row>
    <row r="168" spans="1:6" ht="24" x14ac:dyDescent="0.25">
      <c r="A168" s="2" t="s">
        <v>487</v>
      </c>
      <c r="B168" s="3" t="s">
        <v>488</v>
      </c>
      <c r="C168" s="2" t="s">
        <v>489</v>
      </c>
      <c r="D168" s="2"/>
      <c r="E168" s="2" t="s">
        <v>8</v>
      </c>
      <c r="F168" s="10">
        <v>323.46000000000004</v>
      </c>
    </row>
    <row r="169" spans="1:6" ht="24" x14ac:dyDescent="0.25">
      <c r="A169" s="4" t="s">
        <v>490</v>
      </c>
      <c r="B169" s="5" t="s">
        <v>491</v>
      </c>
      <c r="C169" s="4" t="s">
        <v>492</v>
      </c>
      <c r="D169" s="4"/>
      <c r="E169" s="4" t="s">
        <v>8</v>
      </c>
      <c r="F169" s="10">
        <v>341.43000000000006</v>
      </c>
    </row>
    <row r="170" spans="1:6" ht="24" x14ac:dyDescent="0.25">
      <c r="A170" s="2" t="s">
        <v>493</v>
      </c>
      <c r="B170" s="3" t="s">
        <v>494</v>
      </c>
      <c r="C170" s="2" t="s">
        <v>495</v>
      </c>
      <c r="D170" s="2"/>
      <c r="E170" s="2" t="s">
        <v>8</v>
      </c>
      <c r="F170" s="10">
        <v>359.40000000000009</v>
      </c>
    </row>
    <row r="171" spans="1:6" ht="24" x14ac:dyDescent="0.25">
      <c r="A171" s="4" t="s">
        <v>496</v>
      </c>
      <c r="B171" s="5" t="s">
        <v>497</v>
      </c>
      <c r="C171" s="4" t="s">
        <v>498</v>
      </c>
      <c r="D171" s="4"/>
      <c r="E171" s="4" t="s">
        <v>8</v>
      </c>
      <c r="F171" s="10">
        <v>377.37000000000012</v>
      </c>
    </row>
    <row r="172" spans="1:6" ht="20.25" x14ac:dyDescent="0.25">
      <c r="A172" s="2" t="s">
        <v>499</v>
      </c>
      <c r="B172" s="3" t="s">
        <v>500</v>
      </c>
      <c r="C172" s="2" t="s">
        <v>867</v>
      </c>
      <c r="D172" s="2"/>
      <c r="E172" s="2" t="s">
        <v>8</v>
      </c>
      <c r="F172" s="10">
        <v>28</v>
      </c>
    </row>
    <row r="173" spans="1:6" ht="20.25" x14ac:dyDescent="0.25">
      <c r="A173" s="4" t="s">
        <v>501</v>
      </c>
      <c r="B173" s="5" t="s">
        <v>502</v>
      </c>
      <c r="C173" s="2" t="s">
        <v>868</v>
      </c>
      <c r="D173" s="4"/>
      <c r="E173" s="4" t="s">
        <v>8</v>
      </c>
      <c r="F173" s="10">
        <v>28</v>
      </c>
    </row>
    <row r="174" spans="1:6" ht="20.25" x14ac:dyDescent="0.25">
      <c r="A174" s="2" t="s">
        <v>503</v>
      </c>
      <c r="B174" s="3" t="s">
        <v>504</v>
      </c>
      <c r="C174" s="2" t="s">
        <v>869</v>
      </c>
      <c r="D174" s="2"/>
      <c r="E174" s="2" t="s">
        <v>8</v>
      </c>
      <c r="F174" s="10">
        <v>28</v>
      </c>
    </row>
    <row r="175" spans="1:6" ht="20.25" x14ac:dyDescent="0.25">
      <c r="A175" s="4" t="s">
        <v>505</v>
      </c>
      <c r="B175" s="5" t="s">
        <v>506</v>
      </c>
      <c r="C175" s="6" t="s">
        <v>778</v>
      </c>
      <c r="D175" s="4"/>
      <c r="E175" s="4" t="s">
        <v>8</v>
      </c>
      <c r="F175" s="10">
        <v>15</v>
      </c>
    </row>
    <row r="176" spans="1:6" ht="20.25" x14ac:dyDescent="0.25">
      <c r="A176" s="2" t="s">
        <v>507</v>
      </c>
      <c r="B176" s="3" t="s">
        <v>508</v>
      </c>
      <c r="C176" s="6" t="s">
        <v>749</v>
      </c>
      <c r="D176" s="6" t="s">
        <v>750</v>
      </c>
      <c r="E176" s="8" t="s">
        <v>121</v>
      </c>
      <c r="F176" s="10">
        <v>15</v>
      </c>
    </row>
    <row r="177" spans="1:6" ht="20.25" x14ac:dyDescent="0.25">
      <c r="A177" s="4" t="s">
        <v>509</v>
      </c>
      <c r="B177" s="5" t="s">
        <v>510</v>
      </c>
      <c r="C177" s="6" t="s">
        <v>749</v>
      </c>
      <c r="D177" s="6"/>
      <c r="E177" s="4" t="s">
        <v>8</v>
      </c>
      <c r="F177" s="10">
        <v>15</v>
      </c>
    </row>
    <row r="178" spans="1:6" ht="24" x14ac:dyDescent="0.25">
      <c r="A178" s="2" t="s">
        <v>511</v>
      </c>
      <c r="B178" s="3" t="s">
        <v>512</v>
      </c>
      <c r="C178" s="2" t="s">
        <v>513</v>
      </c>
      <c r="D178" s="2"/>
      <c r="E178" s="2" t="s">
        <v>8</v>
      </c>
      <c r="F178" s="10">
        <v>14</v>
      </c>
    </row>
    <row r="179" spans="1:6" ht="24" x14ac:dyDescent="0.25">
      <c r="A179" s="4" t="s">
        <v>514</v>
      </c>
      <c r="B179" s="5" t="s">
        <v>515</v>
      </c>
      <c r="C179" s="4" t="s">
        <v>516</v>
      </c>
      <c r="D179" s="4"/>
      <c r="E179" s="4" t="s">
        <v>8</v>
      </c>
      <c r="F179" s="10">
        <v>28</v>
      </c>
    </row>
    <row r="180" spans="1:6" ht="24" x14ac:dyDescent="0.25">
      <c r="A180" s="2" t="s">
        <v>517</v>
      </c>
      <c r="B180" s="3" t="s">
        <v>518</v>
      </c>
      <c r="C180" s="2" t="s">
        <v>519</v>
      </c>
      <c r="D180" s="2"/>
      <c r="E180" s="2" t="s">
        <v>8</v>
      </c>
      <c r="F180" s="10">
        <v>42</v>
      </c>
    </row>
    <row r="181" spans="1:6" ht="24" x14ac:dyDescent="0.25">
      <c r="A181" s="4" t="s">
        <v>520</v>
      </c>
      <c r="B181" s="5" t="s">
        <v>521</v>
      </c>
      <c r="C181" s="4" t="s">
        <v>522</v>
      </c>
      <c r="D181" s="4"/>
      <c r="E181" s="4" t="s">
        <v>8</v>
      </c>
      <c r="F181" s="10">
        <v>56</v>
      </c>
    </row>
    <row r="182" spans="1:6" ht="24" x14ac:dyDescent="0.25">
      <c r="A182" s="2" t="s">
        <v>523</v>
      </c>
      <c r="B182" s="3" t="s">
        <v>524</v>
      </c>
      <c r="C182" s="2" t="s">
        <v>525</v>
      </c>
      <c r="D182" s="2"/>
      <c r="E182" s="2" t="s">
        <v>8</v>
      </c>
      <c r="F182" s="10">
        <v>70</v>
      </c>
    </row>
    <row r="183" spans="1:6" ht="24" x14ac:dyDescent="0.25">
      <c r="A183" s="4" t="s">
        <v>526</v>
      </c>
      <c r="B183" s="5" t="s">
        <v>527</v>
      </c>
      <c r="C183" s="4" t="s">
        <v>528</v>
      </c>
      <c r="D183" s="4"/>
      <c r="E183" s="4" t="s">
        <v>8</v>
      </c>
      <c r="F183" s="10">
        <v>84</v>
      </c>
    </row>
    <row r="184" spans="1:6" ht="24" x14ac:dyDescent="0.25">
      <c r="A184" s="2" t="s">
        <v>529</v>
      </c>
      <c r="B184" s="3" t="s">
        <v>530</v>
      </c>
      <c r="C184" s="2" t="s">
        <v>531</v>
      </c>
      <c r="D184" s="2"/>
      <c r="E184" s="2" t="s">
        <v>8</v>
      </c>
      <c r="F184" s="10">
        <v>98</v>
      </c>
    </row>
    <row r="185" spans="1:6" ht="24" x14ac:dyDescent="0.25">
      <c r="A185" s="4" t="s">
        <v>532</v>
      </c>
      <c r="B185" s="5" t="s">
        <v>533</v>
      </c>
      <c r="C185" s="4" t="s">
        <v>534</v>
      </c>
      <c r="D185" s="4"/>
      <c r="E185" s="4" t="s">
        <v>8</v>
      </c>
      <c r="F185" s="10">
        <v>112</v>
      </c>
    </row>
    <row r="186" spans="1:6" ht="24" x14ac:dyDescent="0.25">
      <c r="A186" s="2" t="s">
        <v>535</v>
      </c>
      <c r="B186" s="3" t="s">
        <v>536</v>
      </c>
      <c r="C186" s="2" t="s">
        <v>537</v>
      </c>
      <c r="D186" s="2"/>
      <c r="E186" s="2" t="s">
        <v>8</v>
      </c>
      <c r="F186" s="10">
        <v>126</v>
      </c>
    </row>
    <row r="187" spans="1:6" ht="24" x14ac:dyDescent="0.25">
      <c r="A187" s="4" t="s">
        <v>538</v>
      </c>
      <c r="B187" s="5" t="s">
        <v>539</v>
      </c>
      <c r="C187" s="4" t="s">
        <v>540</v>
      </c>
      <c r="D187" s="4"/>
      <c r="E187" s="4" t="s">
        <v>8</v>
      </c>
      <c r="F187" s="10">
        <v>140</v>
      </c>
    </row>
    <row r="188" spans="1:6" ht="24" x14ac:dyDescent="0.25">
      <c r="A188" s="2" t="s">
        <v>541</v>
      </c>
      <c r="B188" s="3" t="s">
        <v>542</v>
      </c>
      <c r="C188" s="2" t="s">
        <v>543</v>
      </c>
      <c r="D188" s="2"/>
      <c r="E188" s="2" t="s">
        <v>8</v>
      </c>
      <c r="F188" s="10">
        <v>154</v>
      </c>
    </row>
    <row r="189" spans="1:6" ht="24" x14ac:dyDescent="0.25">
      <c r="A189" s="4" t="s">
        <v>544</v>
      </c>
      <c r="B189" s="5" t="s">
        <v>545</v>
      </c>
      <c r="C189" s="4" t="s">
        <v>546</v>
      </c>
      <c r="D189" s="4"/>
      <c r="E189" s="4" t="s">
        <v>8</v>
      </c>
      <c r="F189" s="10">
        <v>168</v>
      </c>
    </row>
    <row r="190" spans="1:6" ht="24" x14ac:dyDescent="0.25">
      <c r="A190" s="2" t="s">
        <v>547</v>
      </c>
      <c r="B190" s="3" t="s">
        <v>548</v>
      </c>
      <c r="C190" s="2" t="s">
        <v>549</v>
      </c>
      <c r="D190" s="2"/>
      <c r="E190" s="2" t="s">
        <v>8</v>
      </c>
      <c r="F190" s="10">
        <v>182</v>
      </c>
    </row>
    <row r="191" spans="1:6" ht="24" x14ac:dyDescent="0.25">
      <c r="A191" s="4" t="s">
        <v>550</v>
      </c>
      <c r="B191" s="5" t="s">
        <v>551</v>
      </c>
      <c r="C191" s="4" t="s">
        <v>552</v>
      </c>
      <c r="D191" s="4"/>
      <c r="E191" s="4" t="s">
        <v>8</v>
      </c>
      <c r="F191" s="10">
        <v>196</v>
      </c>
    </row>
    <row r="192" spans="1:6" ht="24" x14ac:dyDescent="0.25">
      <c r="A192" s="2" t="s">
        <v>553</v>
      </c>
      <c r="B192" s="3" t="s">
        <v>554</v>
      </c>
      <c r="C192" s="2" t="s">
        <v>555</v>
      </c>
      <c r="D192" s="2"/>
      <c r="E192" s="2" t="s">
        <v>8</v>
      </c>
      <c r="F192" s="10">
        <v>210</v>
      </c>
    </row>
    <row r="193" spans="1:6" ht="24" x14ac:dyDescent="0.25">
      <c r="A193" s="4" t="s">
        <v>556</v>
      </c>
      <c r="B193" s="5" t="s">
        <v>557</v>
      </c>
      <c r="C193" s="4" t="s">
        <v>558</v>
      </c>
      <c r="D193" s="4"/>
      <c r="E193" s="4" t="s">
        <v>8</v>
      </c>
      <c r="F193" s="10">
        <v>224</v>
      </c>
    </row>
    <row r="194" spans="1:6" ht="24" x14ac:dyDescent="0.25">
      <c r="A194" s="2" t="s">
        <v>559</v>
      </c>
      <c r="B194" s="3" t="s">
        <v>560</v>
      </c>
      <c r="C194" s="2" t="s">
        <v>561</v>
      </c>
      <c r="D194" s="2"/>
      <c r="E194" s="2" t="s">
        <v>8</v>
      </c>
      <c r="F194" s="10">
        <v>238</v>
      </c>
    </row>
    <row r="195" spans="1:6" ht="24" x14ac:dyDescent="0.25">
      <c r="A195" s="4" t="s">
        <v>562</v>
      </c>
      <c r="B195" s="5" t="s">
        <v>563</v>
      </c>
      <c r="C195" s="4" t="s">
        <v>564</v>
      </c>
      <c r="D195" s="4"/>
      <c r="E195" s="4" t="s">
        <v>8</v>
      </c>
      <c r="F195" s="10">
        <v>252</v>
      </c>
    </row>
    <row r="196" spans="1:6" ht="24" x14ac:dyDescent="0.25">
      <c r="A196" s="2" t="s">
        <v>565</v>
      </c>
      <c r="B196" s="3" t="s">
        <v>566</v>
      </c>
      <c r="C196" s="2" t="s">
        <v>567</v>
      </c>
      <c r="D196" s="2"/>
      <c r="E196" s="2" t="s">
        <v>8</v>
      </c>
      <c r="F196" s="10">
        <v>266</v>
      </c>
    </row>
    <row r="197" spans="1:6" ht="24" x14ac:dyDescent="0.25">
      <c r="A197" s="4" t="s">
        <v>568</v>
      </c>
      <c r="B197" s="5" t="s">
        <v>569</v>
      </c>
      <c r="C197" s="4" t="s">
        <v>570</v>
      </c>
      <c r="D197" s="4"/>
      <c r="E197" s="4" t="s">
        <v>8</v>
      </c>
      <c r="F197" s="10">
        <v>280</v>
      </c>
    </row>
    <row r="198" spans="1:6" ht="24" x14ac:dyDescent="0.25">
      <c r="A198" s="2" t="s">
        <v>571</v>
      </c>
      <c r="B198" s="3" t="s">
        <v>572</v>
      </c>
      <c r="C198" s="2" t="s">
        <v>573</v>
      </c>
      <c r="D198" s="2"/>
      <c r="E198" s="2" t="s">
        <v>8</v>
      </c>
      <c r="F198" s="10">
        <v>33.760000000000005</v>
      </c>
    </row>
    <row r="199" spans="1:6" ht="24" x14ac:dyDescent="0.25">
      <c r="A199" s="4" t="s">
        <v>574</v>
      </c>
      <c r="B199" s="5" t="s">
        <v>575</v>
      </c>
      <c r="C199" s="4" t="s">
        <v>576</v>
      </c>
      <c r="D199" s="4"/>
      <c r="E199" s="4" t="s">
        <v>8</v>
      </c>
      <c r="F199" s="10">
        <v>47.760000000000005</v>
      </c>
    </row>
    <row r="200" spans="1:6" ht="24" x14ac:dyDescent="0.25">
      <c r="A200" s="2" t="s">
        <v>577</v>
      </c>
      <c r="B200" s="3" t="s">
        <v>578</v>
      </c>
      <c r="C200" s="2" t="s">
        <v>579</v>
      </c>
      <c r="D200" s="2"/>
      <c r="E200" s="2" t="s">
        <v>8</v>
      </c>
      <c r="F200" s="10">
        <v>61.760000000000005</v>
      </c>
    </row>
    <row r="201" spans="1:6" ht="24" x14ac:dyDescent="0.25">
      <c r="A201" s="4" t="s">
        <v>580</v>
      </c>
      <c r="B201" s="5" t="s">
        <v>581</v>
      </c>
      <c r="C201" s="4" t="s">
        <v>582</v>
      </c>
      <c r="D201" s="4"/>
      <c r="E201" s="4" t="s">
        <v>8</v>
      </c>
      <c r="F201" s="10">
        <v>75.760000000000005</v>
      </c>
    </row>
    <row r="202" spans="1:6" ht="24" x14ac:dyDescent="0.25">
      <c r="A202" s="2" t="s">
        <v>583</v>
      </c>
      <c r="B202" s="3" t="s">
        <v>584</v>
      </c>
      <c r="C202" s="2" t="s">
        <v>585</v>
      </c>
      <c r="D202" s="2"/>
      <c r="E202" s="2" t="s">
        <v>8</v>
      </c>
      <c r="F202" s="10">
        <v>89.76</v>
      </c>
    </row>
    <row r="203" spans="1:6" ht="24" x14ac:dyDescent="0.25">
      <c r="A203" s="4" t="s">
        <v>586</v>
      </c>
      <c r="B203" s="5" t="s">
        <v>587</v>
      </c>
      <c r="C203" s="4" t="s">
        <v>588</v>
      </c>
      <c r="D203" s="4"/>
      <c r="E203" s="4" t="s">
        <v>8</v>
      </c>
      <c r="F203" s="10">
        <v>103.76</v>
      </c>
    </row>
    <row r="204" spans="1:6" ht="24" x14ac:dyDescent="0.25">
      <c r="A204" s="2" t="s">
        <v>589</v>
      </c>
      <c r="B204" s="3" t="s">
        <v>590</v>
      </c>
      <c r="C204" s="2" t="s">
        <v>591</v>
      </c>
      <c r="D204" s="2"/>
      <c r="E204" s="2" t="s">
        <v>8</v>
      </c>
      <c r="F204" s="10">
        <v>117.76</v>
      </c>
    </row>
    <row r="205" spans="1:6" ht="24" x14ac:dyDescent="0.25">
      <c r="A205" s="4" t="s">
        <v>592</v>
      </c>
      <c r="B205" s="5" t="s">
        <v>593</v>
      </c>
      <c r="C205" s="4" t="s">
        <v>594</v>
      </c>
      <c r="D205" s="4"/>
      <c r="E205" s="4" t="s">
        <v>8</v>
      </c>
      <c r="F205" s="10">
        <v>131.76</v>
      </c>
    </row>
    <row r="206" spans="1:6" ht="24" x14ac:dyDescent="0.25">
      <c r="A206" s="2" t="s">
        <v>595</v>
      </c>
      <c r="B206" s="3" t="s">
        <v>596</v>
      </c>
      <c r="C206" s="2" t="s">
        <v>597</v>
      </c>
      <c r="D206" s="2"/>
      <c r="E206" s="2" t="s">
        <v>8</v>
      </c>
      <c r="F206" s="10">
        <v>145.76</v>
      </c>
    </row>
    <row r="207" spans="1:6" ht="24" x14ac:dyDescent="0.25">
      <c r="A207" s="4" t="s">
        <v>598</v>
      </c>
      <c r="B207" s="5" t="s">
        <v>599</v>
      </c>
      <c r="C207" s="4" t="s">
        <v>600</v>
      </c>
      <c r="D207" s="4"/>
      <c r="E207" s="4" t="s">
        <v>8</v>
      </c>
      <c r="F207" s="10">
        <v>159.76</v>
      </c>
    </row>
    <row r="208" spans="1:6" ht="24" x14ac:dyDescent="0.25">
      <c r="A208" s="2" t="s">
        <v>601</v>
      </c>
      <c r="B208" s="3" t="s">
        <v>602</v>
      </c>
      <c r="C208" s="2" t="s">
        <v>603</v>
      </c>
      <c r="D208" s="2"/>
      <c r="E208" s="2" t="s">
        <v>8</v>
      </c>
      <c r="F208" s="10">
        <v>173.76</v>
      </c>
    </row>
    <row r="209" spans="1:6" ht="24" x14ac:dyDescent="0.25">
      <c r="A209" s="4" t="s">
        <v>604</v>
      </c>
      <c r="B209" s="5" t="s">
        <v>605</v>
      </c>
      <c r="C209" s="4" t="s">
        <v>606</v>
      </c>
      <c r="D209" s="4"/>
      <c r="E209" s="4" t="s">
        <v>8</v>
      </c>
      <c r="F209" s="10">
        <v>187.76</v>
      </c>
    </row>
    <row r="210" spans="1:6" ht="24" x14ac:dyDescent="0.25">
      <c r="A210" s="2" t="s">
        <v>607</v>
      </c>
      <c r="B210" s="3" t="s">
        <v>608</v>
      </c>
      <c r="C210" s="2" t="s">
        <v>609</v>
      </c>
      <c r="D210" s="2"/>
      <c r="E210" s="2" t="s">
        <v>8</v>
      </c>
      <c r="F210" s="10">
        <v>201.76</v>
      </c>
    </row>
    <row r="211" spans="1:6" ht="24" x14ac:dyDescent="0.25">
      <c r="A211" s="4" t="s">
        <v>610</v>
      </c>
      <c r="B211" s="5" t="s">
        <v>611</v>
      </c>
      <c r="C211" s="4" t="s">
        <v>612</v>
      </c>
      <c r="D211" s="4"/>
      <c r="E211" s="4" t="s">
        <v>8</v>
      </c>
      <c r="F211" s="10">
        <v>215.76</v>
      </c>
    </row>
    <row r="212" spans="1:6" ht="24" x14ac:dyDescent="0.25">
      <c r="A212" s="2" t="s">
        <v>613</v>
      </c>
      <c r="B212" s="3" t="s">
        <v>614</v>
      </c>
      <c r="C212" s="2" t="s">
        <v>615</v>
      </c>
      <c r="D212" s="2"/>
      <c r="E212" s="2" t="s">
        <v>8</v>
      </c>
      <c r="F212" s="10">
        <v>229.76</v>
      </c>
    </row>
    <row r="213" spans="1:6" ht="24" x14ac:dyDescent="0.25">
      <c r="A213" s="4" t="s">
        <v>616</v>
      </c>
      <c r="B213" s="5" t="s">
        <v>617</v>
      </c>
      <c r="C213" s="4" t="s">
        <v>618</v>
      </c>
      <c r="D213" s="4"/>
      <c r="E213" s="4" t="s">
        <v>8</v>
      </c>
      <c r="F213" s="10">
        <v>243.76</v>
      </c>
    </row>
    <row r="214" spans="1:6" ht="24" x14ac:dyDescent="0.25">
      <c r="A214" s="2" t="s">
        <v>619</v>
      </c>
      <c r="B214" s="3" t="s">
        <v>620</v>
      </c>
      <c r="C214" s="2" t="s">
        <v>621</v>
      </c>
      <c r="D214" s="2"/>
      <c r="E214" s="2" t="s">
        <v>8</v>
      </c>
      <c r="F214" s="10">
        <v>257.76</v>
      </c>
    </row>
    <row r="215" spans="1:6" ht="24" x14ac:dyDescent="0.25">
      <c r="A215" s="4" t="s">
        <v>622</v>
      </c>
      <c r="B215" s="5" t="s">
        <v>623</v>
      </c>
      <c r="C215" s="4" t="s">
        <v>624</v>
      </c>
      <c r="D215" s="4"/>
      <c r="E215" s="4" t="s">
        <v>8</v>
      </c>
      <c r="F215" s="10">
        <v>271.76</v>
      </c>
    </row>
    <row r="216" spans="1:6" ht="24" x14ac:dyDescent="0.25">
      <c r="A216" s="2" t="s">
        <v>625</v>
      </c>
      <c r="B216" s="3" t="s">
        <v>626</v>
      </c>
      <c r="C216" s="2" t="s">
        <v>627</v>
      </c>
      <c r="D216" s="2"/>
      <c r="E216" s="2" t="s">
        <v>8</v>
      </c>
      <c r="F216" s="10">
        <v>285.76</v>
      </c>
    </row>
    <row r="217" spans="1:6" ht="20.25" x14ac:dyDescent="0.25">
      <c r="A217" s="4" t="s">
        <v>215</v>
      </c>
      <c r="B217" s="5" t="s">
        <v>216</v>
      </c>
      <c r="C217" s="4" t="s">
        <v>217</v>
      </c>
      <c r="D217" s="4"/>
      <c r="E217" s="4" t="s">
        <v>8</v>
      </c>
      <c r="F217" s="10">
        <v>6.09</v>
      </c>
    </row>
    <row r="218" spans="1:6" ht="20.25" x14ac:dyDescent="0.25">
      <c r="A218" s="2" t="s">
        <v>218</v>
      </c>
      <c r="B218" s="3" t="s">
        <v>219</v>
      </c>
      <c r="C218" s="2" t="s">
        <v>220</v>
      </c>
      <c r="D218" s="2"/>
      <c r="E218" s="2" t="s">
        <v>8</v>
      </c>
      <c r="F218" s="10">
        <v>6.09</v>
      </c>
    </row>
    <row r="219" spans="1:6" ht="20.25" x14ac:dyDescent="0.25">
      <c r="A219" s="4" t="s">
        <v>221</v>
      </c>
      <c r="B219" s="5" t="s">
        <v>222</v>
      </c>
      <c r="C219" s="4" t="s">
        <v>223</v>
      </c>
      <c r="D219" s="4"/>
      <c r="E219" s="4" t="s">
        <v>8</v>
      </c>
      <c r="F219" s="10">
        <v>6.09</v>
      </c>
    </row>
    <row r="220" spans="1:6" ht="20.25" x14ac:dyDescent="0.25">
      <c r="A220" s="2" t="s">
        <v>224</v>
      </c>
      <c r="B220" s="3" t="s">
        <v>225</v>
      </c>
      <c r="C220" s="2" t="s">
        <v>226</v>
      </c>
      <c r="D220" s="2"/>
      <c r="E220" s="2" t="s">
        <v>8</v>
      </c>
      <c r="F220" s="10">
        <v>6.09</v>
      </c>
    </row>
    <row r="221" spans="1:6" ht="20.25" x14ac:dyDescent="0.25">
      <c r="A221" s="4" t="s">
        <v>227</v>
      </c>
      <c r="B221" s="5" t="s">
        <v>228</v>
      </c>
      <c r="C221" s="4" t="s">
        <v>229</v>
      </c>
      <c r="D221" s="4"/>
      <c r="E221" s="4" t="s">
        <v>8</v>
      </c>
      <c r="F221" s="10">
        <v>6.09</v>
      </c>
    </row>
    <row r="222" spans="1:6" ht="20.25" x14ac:dyDescent="0.25">
      <c r="A222" s="2" t="s">
        <v>230</v>
      </c>
      <c r="B222" s="3" t="s">
        <v>231</v>
      </c>
      <c r="C222" s="2" t="s">
        <v>232</v>
      </c>
      <c r="D222" s="2"/>
      <c r="E222" s="2" t="s">
        <v>8</v>
      </c>
      <c r="F222" s="10">
        <v>6.09</v>
      </c>
    </row>
    <row r="223" spans="1:6" ht="20.25" x14ac:dyDescent="0.25">
      <c r="A223" s="4" t="s">
        <v>233</v>
      </c>
      <c r="B223" s="5" t="s">
        <v>234</v>
      </c>
      <c r="C223" s="4" t="s">
        <v>235</v>
      </c>
      <c r="D223" s="4"/>
      <c r="E223" s="4" t="s">
        <v>8</v>
      </c>
      <c r="F223" s="10">
        <v>6.09</v>
      </c>
    </row>
    <row r="224" spans="1:6" ht="20.25" x14ac:dyDescent="0.25">
      <c r="A224" s="2" t="s">
        <v>236</v>
      </c>
      <c r="B224" s="3" t="s">
        <v>237</v>
      </c>
      <c r="C224" s="2" t="s">
        <v>238</v>
      </c>
      <c r="D224" s="2"/>
      <c r="E224" s="2" t="s">
        <v>8</v>
      </c>
      <c r="F224" s="10">
        <v>6.09</v>
      </c>
    </row>
    <row r="225" spans="1:6" ht="20.25" x14ac:dyDescent="0.25">
      <c r="A225" s="4" t="s">
        <v>239</v>
      </c>
      <c r="B225" s="5" t="s">
        <v>240</v>
      </c>
      <c r="C225" s="4" t="s">
        <v>241</v>
      </c>
      <c r="D225" s="4"/>
      <c r="E225" s="4" t="s">
        <v>8</v>
      </c>
      <c r="F225" s="10">
        <v>6.09</v>
      </c>
    </row>
    <row r="226" spans="1:6" ht="20.25" x14ac:dyDescent="0.25">
      <c r="A226" s="2" t="s">
        <v>242</v>
      </c>
      <c r="B226" s="3" t="s">
        <v>243</v>
      </c>
      <c r="C226" s="2" t="s">
        <v>244</v>
      </c>
      <c r="D226" s="2"/>
      <c r="E226" s="2" t="s">
        <v>8</v>
      </c>
      <c r="F226" s="10">
        <v>6.09</v>
      </c>
    </row>
    <row r="227" spans="1:6" ht="20.25" x14ac:dyDescent="0.25">
      <c r="A227" s="4" t="s">
        <v>245</v>
      </c>
      <c r="B227" s="5" t="s">
        <v>246</v>
      </c>
      <c r="C227" s="4" t="s">
        <v>247</v>
      </c>
      <c r="D227" s="4"/>
      <c r="E227" s="4" t="s">
        <v>8</v>
      </c>
      <c r="F227" s="10">
        <v>6.09</v>
      </c>
    </row>
    <row r="228" spans="1:6" ht="20.25" x14ac:dyDescent="0.25">
      <c r="A228" s="2" t="s">
        <v>248</v>
      </c>
      <c r="B228" s="3" t="s">
        <v>249</v>
      </c>
      <c r="C228" s="2" t="s">
        <v>250</v>
      </c>
      <c r="D228" s="2"/>
      <c r="E228" s="2" t="s">
        <v>8</v>
      </c>
      <c r="F228" s="10">
        <v>6.09</v>
      </c>
    </row>
    <row r="229" spans="1:6" ht="20.25" x14ac:dyDescent="0.25">
      <c r="A229" s="4" t="s">
        <v>251</v>
      </c>
      <c r="B229" s="5" t="s">
        <v>252</v>
      </c>
      <c r="C229" s="4" t="s">
        <v>253</v>
      </c>
      <c r="D229" s="4"/>
      <c r="E229" s="4" t="s">
        <v>8</v>
      </c>
      <c r="F229" s="10">
        <v>6.09</v>
      </c>
    </row>
    <row r="230" spans="1:6" ht="20.25" x14ac:dyDescent="0.25">
      <c r="A230" s="2" t="s">
        <v>254</v>
      </c>
      <c r="B230" s="3" t="s">
        <v>255</v>
      </c>
      <c r="C230" s="2" t="s">
        <v>256</v>
      </c>
      <c r="D230" s="2"/>
      <c r="E230" s="2" t="s">
        <v>8</v>
      </c>
      <c r="F230" s="10">
        <v>6.09</v>
      </c>
    </row>
    <row r="231" spans="1:6" ht="20.25" x14ac:dyDescent="0.25">
      <c r="A231" s="4" t="s">
        <v>257</v>
      </c>
      <c r="B231" s="5" t="s">
        <v>258</v>
      </c>
      <c r="C231" s="4" t="s">
        <v>259</v>
      </c>
      <c r="D231" s="4"/>
      <c r="E231" s="4" t="s">
        <v>8</v>
      </c>
      <c r="F231" s="10">
        <v>6.09</v>
      </c>
    </row>
    <row r="232" spans="1:6" ht="20.25" x14ac:dyDescent="0.25">
      <c r="A232" s="2" t="s">
        <v>260</v>
      </c>
      <c r="B232" s="3" t="s">
        <v>261</v>
      </c>
      <c r="C232" s="2" t="s">
        <v>262</v>
      </c>
      <c r="D232" s="2"/>
      <c r="E232" s="2" t="s">
        <v>8</v>
      </c>
      <c r="F232" s="10">
        <v>6.09</v>
      </c>
    </row>
    <row r="233" spans="1:6" ht="20.25" x14ac:dyDescent="0.25">
      <c r="A233" s="4" t="s">
        <v>263</v>
      </c>
      <c r="B233" s="5" t="s">
        <v>264</v>
      </c>
      <c r="C233" s="4" t="s">
        <v>265</v>
      </c>
      <c r="D233" s="4"/>
      <c r="E233" s="4" t="s">
        <v>8</v>
      </c>
      <c r="F233" s="10">
        <v>6.09</v>
      </c>
    </row>
    <row r="234" spans="1:6" ht="20.25" x14ac:dyDescent="0.25">
      <c r="A234" s="2" t="s">
        <v>266</v>
      </c>
      <c r="B234" s="3" t="s">
        <v>267</v>
      </c>
      <c r="C234" s="2" t="s">
        <v>268</v>
      </c>
      <c r="D234" s="2"/>
      <c r="E234" s="2" t="s">
        <v>8</v>
      </c>
      <c r="F234" s="10">
        <v>6.09</v>
      </c>
    </row>
    <row r="235" spans="1:6" ht="20.25" x14ac:dyDescent="0.25">
      <c r="A235" s="4" t="s">
        <v>269</v>
      </c>
      <c r="B235" s="5" t="s">
        <v>270</v>
      </c>
      <c r="C235" s="4" t="s">
        <v>271</v>
      </c>
      <c r="D235" s="4"/>
      <c r="E235" s="4" t="s">
        <v>8</v>
      </c>
      <c r="F235" s="10">
        <v>6.09</v>
      </c>
    </row>
    <row r="236" spans="1:6" ht="20.25" x14ac:dyDescent="0.25">
      <c r="A236" s="2" t="s">
        <v>272</v>
      </c>
      <c r="B236" s="3" t="s">
        <v>273</v>
      </c>
      <c r="C236" s="2" t="s">
        <v>274</v>
      </c>
      <c r="D236" s="2"/>
      <c r="E236" s="2" t="s">
        <v>8</v>
      </c>
      <c r="F236" s="10">
        <v>6.09</v>
      </c>
    </row>
    <row r="237" spans="1:6" ht="20.25" x14ac:dyDescent="0.25">
      <c r="A237" s="4" t="s">
        <v>275</v>
      </c>
      <c r="B237" s="5" t="s">
        <v>276</v>
      </c>
      <c r="C237" s="4" t="s">
        <v>277</v>
      </c>
      <c r="D237" s="4"/>
      <c r="E237" s="4" t="s">
        <v>8</v>
      </c>
      <c r="F237" s="10">
        <v>6.09</v>
      </c>
    </row>
    <row r="238" spans="1:6" ht="20.25" x14ac:dyDescent="0.25">
      <c r="A238" s="2" t="s">
        <v>278</v>
      </c>
      <c r="B238" s="3" t="s">
        <v>279</v>
      </c>
      <c r="C238" s="2" t="s">
        <v>280</v>
      </c>
      <c r="D238" s="2"/>
      <c r="E238" s="2" t="s">
        <v>8</v>
      </c>
      <c r="F238" s="10">
        <v>6.09</v>
      </c>
    </row>
    <row r="239" spans="1:6" ht="20.25" x14ac:dyDescent="0.25">
      <c r="A239" s="4" t="s">
        <v>281</v>
      </c>
      <c r="B239" s="5" t="s">
        <v>282</v>
      </c>
      <c r="C239" s="4" t="s">
        <v>283</v>
      </c>
      <c r="D239" s="4"/>
      <c r="E239" s="4" t="s">
        <v>8</v>
      </c>
      <c r="F239" s="10">
        <v>6.09</v>
      </c>
    </row>
    <row r="240" spans="1:6" ht="20.25" x14ac:dyDescent="0.25">
      <c r="A240" s="2" t="s">
        <v>284</v>
      </c>
      <c r="B240" s="3" t="s">
        <v>285</v>
      </c>
      <c r="C240" s="2" t="s">
        <v>286</v>
      </c>
      <c r="D240" s="2"/>
      <c r="E240" s="2" t="s">
        <v>8</v>
      </c>
      <c r="F240" s="10">
        <v>6.09</v>
      </c>
    </row>
    <row r="241" spans="1:6" ht="20.25" x14ac:dyDescent="0.25">
      <c r="A241" s="4" t="s">
        <v>287</v>
      </c>
      <c r="B241" s="5" t="s">
        <v>288</v>
      </c>
      <c r="C241" s="4" t="s">
        <v>289</v>
      </c>
      <c r="D241" s="4"/>
      <c r="E241" s="4" t="s">
        <v>8</v>
      </c>
      <c r="F241" s="10">
        <v>6.09</v>
      </c>
    </row>
    <row r="242" spans="1:6" ht="20.25" x14ac:dyDescent="0.25">
      <c r="A242" s="2" t="s">
        <v>290</v>
      </c>
      <c r="B242" s="3" t="s">
        <v>291</v>
      </c>
      <c r="C242" s="2" t="s">
        <v>292</v>
      </c>
      <c r="D242" s="2"/>
      <c r="E242" s="2" t="s">
        <v>8</v>
      </c>
      <c r="F242" s="10">
        <v>6.09</v>
      </c>
    </row>
    <row r="243" spans="1:6" ht="20.25" x14ac:dyDescent="0.25">
      <c r="A243" s="4" t="s">
        <v>293</v>
      </c>
      <c r="B243" s="5" t="s">
        <v>294</v>
      </c>
      <c r="C243" s="4" t="s">
        <v>295</v>
      </c>
      <c r="D243" s="4"/>
      <c r="E243" s="4" t="s">
        <v>8</v>
      </c>
      <c r="F243" s="10">
        <v>6.09</v>
      </c>
    </row>
    <row r="244" spans="1:6" ht="20.25" x14ac:dyDescent="0.25">
      <c r="A244" s="2" t="s">
        <v>296</v>
      </c>
      <c r="B244" s="3" t="s">
        <v>297</v>
      </c>
      <c r="C244" s="2" t="s">
        <v>298</v>
      </c>
      <c r="D244" s="2"/>
      <c r="E244" s="2" t="s">
        <v>8</v>
      </c>
      <c r="F244" s="10">
        <v>6.09</v>
      </c>
    </row>
    <row r="245" spans="1:6" ht="20.25" x14ac:dyDescent="0.25">
      <c r="A245" s="4" t="s">
        <v>299</v>
      </c>
      <c r="B245" s="5" t="s">
        <v>300</v>
      </c>
      <c r="C245" s="4" t="s">
        <v>301</v>
      </c>
      <c r="D245" s="4"/>
      <c r="E245" s="4" t="s">
        <v>8</v>
      </c>
      <c r="F245" s="10">
        <v>6.09</v>
      </c>
    </row>
    <row r="246" spans="1:6" ht="20.25" x14ac:dyDescent="0.25">
      <c r="A246" s="2" t="s">
        <v>302</v>
      </c>
      <c r="B246" s="3" t="s">
        <v>303</v>
      </c>
      <c r="C246" s="2" t="s">
        <v>304</v>
      </c>
      <c r="D246" s="2"/>
      <c r="E246" s="2" t="s">
        <v>8</v>
      </c>
      <c r="F246" s="10">
        <v>6.09</v>
      </c>
    </row>
    <row r="247" spans="1:6" ht="20.25" x14ac:dyDescent="0.25">
      <c r="A247" s="4" t="s">
        <v>305</v>
      </c>
      <c r="B247" s="5" t="s">
        <v>306</v>
      </c>
      <c r="C247" s="4" t="s">
        <v>307</v>
      </c>
      <c r="D247" s="4"/>
      <c r="E247" s="4" t="s">
        <v>8</v>
      </c>
      <c r="F247" s="10">
        <v>6.09</v>
      </c>
    </row>
    <row r="248" spans="1:6" ht="20.25" x14ac:dyDescent="0.25">
      <c r="A248" s="2" t="s">
        <v>308</v>
      </c>
      <c r="B248" s="3" t="s">
        <v>309</v>
      </c>
      <c r="C248" s="2" t="s">
        <v>310</v>
      </c>
      <c r="D248" s="2"/>
      <c r="E248" s="2" t="s">
        <v>8</v>
      </c>
      <c r="F248" s="10">
        <v>6.09</v>
      </c>
    </row>
    <row r="249" spans="1:6" ht="20.25" x14ac:dyDescent="0.25">
      <c r="A249" s="4" t="s">
        <v>311</v>
      </c>
      <c r="B249" s="5" t="s">
        <v>312</v>
      </c>
      <c r="C249" s="4" t="s">
        <v>313</v>
      </c>
      <c r="D249" s="4"/>
      <c r="E249" s="4" t="s">
        <v>8</v>
      </c>
      <c r="F249" s="10">
        <v>6.09</v>
      </c>
    </row>
    <row r="250" spans="1:6" ht="20.25" x14ac:dyDescent="0.25">
      <c r="A250" s="2" t="s">
        <v>314</v>
      </c>
      <c r="B250" s="3" t="s">
        <v>315</v>
      </c>
      <c r="C250" s="2" t="s">
        <v>316</v>
      </c>
      <c r="D250" s="2"/>
      <c r="E250" s="2" t="s">
        <v>8</v>
      </c>
      <c r="F250" s="10">
        <v>6.09</v>
      </c>
    </row>
    <row r="251" spans="1:6" ht="20.25" x14ac:dyDescent="0.25">
      <c r="A251" s="4" t="s">
        <v>317</v>
      </c>
      <c r="B251" s="5" t="s">
        <v>318</v>
      </c>
      <c r="C251" s="4" t="s">
        <v>319</v>
      </c>
      <c r="D251" s="4"/>
      <c r="E251" s="4" t="s">
        <v>8</v>
      </c>
      <c r="F251" s="10">
        <v>6.09</v>
      </c>
    </row>
    <row r="252" spans="1:6" ht="20.25" x14ac:dyDescent="0.25">
      <c r="A252" s="2" t="s">
        <v>320</v>
      </c>
      <c r="B252" s="3" t="s">
        <v>321</v>
      </c>
      <c r="C252" s="2" t="s">
        <v>322</v>
      </c>
      <c r="D252" s="2"/>
      <c r="E252" s="2" t="s">
        <v>8</v>
      </c>
      <c r="F252" s="10">
        <v>6.09</v>
      </c>
    </row>
    <row r="253" spans="1:6" ht="20.25" x14ac:dyDescent="0.25">
      <c r="A253" s="4" t="s">
        <v>323</v>
      </c>
      <c r="B253" s="5" t="s">
        <v>324</v>
      </c>
      <c r="C253" s="4" t="s">
        <v>325</v>
      </c>
      <c r="D253" s="4"/>
      <c r="E253" s="4" t="s">
        <v>8</v>
      </c>
      <c r="F253" s="10">
        <v>6.09</v>
      </c>
    </row>
    <row r="254" spans="1:6" ht="20.25" x14ac:dyDescent="0.25">
      <c r="A254" s="2" t="s">
        <v>326</v>
      </c>
      <c r="B254" s="3" t="s">
        <v>327</v>
      </c>
      <c r="C254" s="2" t="s">
        <v>328</v>
      </c>
      <c r="D254" s="2"/>
      <c r="E254" s="2" t="s">
        <v>8</v>
      </c>
      <c r="F254" s="10">
        <v>6.09</v>
      </c>
    </row>
    <row r="255" spans="1:6" ht="20.25" x14ac:dyDescent="0.25">
      <c r="A255" s="4" t="s">
        <v>329</v>
      </c>
      <c r="B255" s="5" t="s">
        <v>330</v>
      </c>
      <c r="C255" s="4" t="s">
        <v>331</v>
      </c>
      <c r="D255" s="4"/>
      <c r="E255" s="4" t="s">
        <v>8</v>
      </c>
      <c r="F255" s="10">
        <v>6.09</v>
      </c>
    </row>
    <row r="256" spans="1:6" ht="20.25" x14ac:dyDescent="0.25">
      <c r="A256" s="2" t="s">
        <v>332</v>
      </c>
      <c r="B256" s="3" t="s">
        <v>333</v>
      </c>
      <c r="C256" s="2" t="s">
        <v>334</v>
      </c>
      <c r="D256" s="2"/>
      <c r="E256" s="2" t="s">
        <v>8</v>
      </c>
      <c r="F256" s="10">
        <v>6.09</v>
      </c>
    </row>
    <row r="257" spans="1:6" ht="20.25" x14ac:dyDescent="0.25">
      <c r="A257" s="4" t="s">
        <v>335</v>
      </c>
      <c r="B257" s="5" t="s">
        <v>336</v>
      </c>
      <c r="C257" s="4" t="s">
        <v>337</v>
      </c>
      <c r="D257" s="4"/>
      <c r="E257" s="4" t="s">
        <v>8</v>
      </c>
      <c r="F257" s="10">
        <v>6.09</v>
      </c>
    </row>
    <row r="258" spans="1:6" ht="24" x14ac:dyDescent="0.25">
      <c r="A258" s="2" t="s">
        <v>628</v>
      </c>
      <c r="B258" s="3" t="s">
        <v>629</v>
      </c>
      <c r="C258" s="2" t="s">
        <v>630</v>
      </c>
      <c r="D258" s="2"/>
      <c r="E258" s="2" t="s">
        <v>8</v>
      </c>
      <c r="F258" s="10">
        <v>18.5</v>
      </c>
    </row>
    <row r="259" spans="1:6" ht="24" x14ac:dyDescent="0.25">
      <c r="A259" s="4" t="s">
        <v>631</v>
      </c>
      <c r="B259" s="5" t="s">
        <v>632</v>
      </c>
      <c r="C259" s="4" t="s">
        <v>633</v>
      </c>
      <c r="D259" s="4"/>
      <c r="E259" s="4" t="s">
        <v>8</v>
      </c>
      <c r="F259" s="10">
        <v>23.5</v>
      </c>
    </row>
    <row r="260" spans="1:6" ht="20.25" x14ac:dyDescent="0.25">
      <c r="A260" s="2" t="s">
        <v>634</v>
      </c>
      <c r="B260" s="3" t="s">
        <v>635</v>
      </c>
      <c r="C260" s="2" t="s">
        <v>636</v>
      </c>
      <c r="D260" s="2"/>
      <c r="E260" s="2" t="s">
        <v>8</v>
      </c>
      <c r="F260" s="10">
        <v>12.5</v>
      </c>
    </row>
    <row r="261" spans="1:6" ht="20.25" x14ac:dyDescent="0.25">
      <c r="A261" s="4" t="s">
        <v>637</v>
      </c>
      <c r="B261" s="5" t="s">
        <v>638</v>
      </c>
      <c r="C261" s="4" t="s">
        <v>636</v>
      </c>
      <c r="D261" s="4"/>
      <c r="E261" s="4" t="s">
        <v>8</v>
      </c>
      <c r="F261" s="10">
        <v>12.5</v>
      </c>
    </row>
    <row r="262" spans="1:6" ht="24" x14ac:dyDescent="0.25">
      <c r="A262" s="6" t="s">
        <v>639</v>
      </c>
      <c r="B262" s="7" t="s">
        <v>640</v>
      </c>
      <c r="C262" s="6" t="s">
        <v>636</v>
      </c>
      <c r="D262" s="6" t="s">
        <v>641</v>
      </c>
      <c r="E262" s="8" t="s">
        <v>121</v>
      </c>
      <c r="F262" s="10">
        <v>25.439999999999998</v>
      </c>
    </row>
    <row r="263" spans="1:6" ht="24" x14ac:dyDescent="0.25">
      <c r="A263" s="6" t="s">
        <v>642</v>
      </c>
      <c r="B263" s="7" t="s">
        <v>643</v>
      </c>
      <c r="C263" s="6" t="s">
        <v>636</v>
      </c>
      <c r="D263" s="6" t="s">
        <v>641</v>
      </c>
      <c r="E263" s="8" t="s">
        <v>121</v>
      </c>
      <c r="F263" s="10">
        <v>25.439999999999998</v>
      </c>
    </row>
    <row r="264" spans="1:6" ht="24" x14ac:dyDescent="0.25">
      <c r="A264" s="6" t="s">
        <v>644</v>
      </c>
      <c r="B264" s="7" t="s">
        <v>645</v>
      </c>
      <c r="C264" s="6" t="s">
        <v>636</v>
      </c>
      <c r="D264" s="6" t="s">
        <v>641</v>
      </c>
      <c r="E264" s="8" t="s">
        <v>121</v>
      </c>
      <c r="F264" s="10">
        <v>25.439999999999998</v>
      </c>
    </row>
    <row r="265" spans="1:6" ht="20.25" x14ac:dyDescent="0.25">
      <c r="A265" s="4" t="s">
        <v>646</v>
      </c>
      <c r="B265" s="5" t="s">
        <v>647</v>
      </c>
      <c r="C265" s="4" t="s">
        <v>636</v>
      </c>
      <c r="D265" s="4"/>
      <c r="E265" s="4" t="s">
        <v>8</v>
      </c>
      <c r="F265" s="10">
        <v>12.5</v>
      </c>
    </row>
    <row r="266" spans="1:6" ht="24" x14ac:dyDescent="0.25">
      <c r="A266" s="6" t="s">
        <v>648</v>
      </c>
      <c r="B266" s="7" t="s">
        <v>649</v>
      </c>
      <c r="C266" s="6" t="s">
        <v>636</v>
      </c>
      <c r="D266" s="6" t="s">
        <v>650</v>
      </c>
      <c r="E266" s="8" t="s">
        <v>121</v>
      </c>
      <c r="F266" s="10">
        <v>24</v>
      </c>
    </row>
    <row r="267" spans="1:6" ht="24" x14ac:dyDescent="0.25">
      <c r="A267" s="6" t="s">
        <v>651</v>
      </c>
      <c r="B267" s="7" t="s">
        <v>652</v>
      </c>
      <c r="C267" s="6" t="s">
        <v>636</v>
      </c>
      <c r="D267" s="6" t="s">
        <v>650</v>
      </c>
      <c r="E267" s="8" t="s">
        <v>121</v>
      </c>
      <c r="F267" s="10">
        <v>24</v>
      </c>
    </row>
    <row r="268" spans="1:6" ht="24" x14ac:dyDescent="0.25">
      <c r="A268" s="6" t="s">
        <v>653</v>
      </c>
      <c r="B268" s="7" t="s">
        <v>654</v>
      </c>
      <c r="C268" s="6" t="s">
        <v>636</v>
      </c>
      <c r="D268" s="6" t="s">
        <v>650</v>
      </c>
      <c r="E268" s="8" t="s">
        <v>121</v>
      </c>
      <c r="F268" s="10">
        <v>24</v>
      </c>
    </row>
    <row r="269" spans="1:6" ht="20.25" x14ac:dyDescent="0.25">
      <c r="A269" s="4" t="s">
        <v>655</v>
      </c>
      <c r="B269" s="5" t="s">
        <v>656</v>
      </c>
      <c r="C269" s="4" t="s">
        <v>657</v>
      </c>
      <c r="D269" s="4"/>
      <c r="E269" s="4" t="s">
        <v>8</v>
      </c>
      <c r="F269" s="10">
        <v>16.8</v>
      </c>
    </row>
    <row r="270" spans="1:6" ht="20.25" x14ac:dyDescent="0.25">
      <c r="A270" s="2" t="s">
        <v>658</v>
      </c>
      <c r="B270" s="3" t="s">
        <v>659</v>
      </c>
      <c r="C270" s="2" t="s">
        <v>657</v>
      </c>
      <c r="D270" s="2"/>
      <c r="E270" s="2" t="s">
        <v>8</v>
      </c>
      <c r="F270" s="10">
        <v>16.8</v>
      </c>
    </row>
    <row r="271" spans="1:6" ht="20.25" x14ac:dyDescent="0.25">
      <c r="A271" s="4" t="s">
        <v>660</v>
      </c>
      <c r="B271" s="5" t="s">
        <v>661</v>
      </c>
      <c r="C271" s="4" t="s">
        <v>657</v>
      </c>
      <c r="D271" s="4"/>
      <c r="E271" s="4" t="s">
        <v>8</v>
      </c>
      <c r="F271" s="10">
        <v>16.8</v>
      </c>
    </row>
    <row r="272" spans="1:6" ht="24" x14ac:dyDescent="0.25">
      <c r="A272" s="6" t="s">
        <v>662</v>
      </c>
      <c r="B272" s="7" t="s">
        <v>663</v>
      </c>
      <c r="C272" s="6" t="s">
        <v>657</v>
      </c>
      <c r="D272" s="6" t="s">
        <v>650</v>
      </c>
      <c r="E272" s="8" t="s">
        <v>121</v>
      </c>
      <c r="F272" s="10">
        <v>28.3</v>
      </c>
    </row>
    <row r="273" spans="1:6" ht="24" x14ac:dyDescent="0.25">
      <c r="A273" s="6" t="s">
        <v>664</v>
      </c>
      <c r="B273" s="7" t="s">
        <v>665</v>
      </c>
      <c r="C273" s="6" t="s">
        <v>657</v>
      </c>
      <c r="D273" s="6" t="s">
        <v>650</v>
      </c>
      <c r="E273" s="8" t="s">
        <v>121</v>
      </c>
      <c r="F273" s="10">
        <v>28.3</v>
      </c>
    </row>
    <row r="274" spans="1:6" ht="24" x14ac:dyDescent="0.25">
      <c r="A274" s="6" t="s">
        <v>666</v>
      </c>
      <c r="B274" s="7" t="s">
        <v>667</v>
      </c>
      <c r="C274" s="6" t="s">
        <v>657</v>
      </c>
      <c r="D274" s="6" t="s">
        <v>650</v>
      </c>
      <c r="E274" s="8" t="s">
        <v>121</v>
      </c>
      <c r="F274" s="10">
        <v>28.3</v>
      </c>
    </row>
    <row r="275" spans="1:6" ht="24" x14ac:dyDescent="0.25">
      <c r="A275" s="6" t="s">
        <v>668</v>
      </c>
      <c r="B275" s="7" t="s">
        <v>669</v>
      </c>
      <c r="C275" s="6" t="s">
        <v>657</v>
      </c>
      <c r="D275" s="6" t="s">
        <v>641</v>
      </c>
      <c r="E275" s="8" t="s">
        <v>121</v>
      </c>
      <c r="F275" s="10">
        <v>29.740000000000002</v>
      </c>
    </row>
    <row r="276" spans="1:6" ht="24" x14ac:dyDescent="0.25">
      <c r="A276" s="6" t="s">
        <v>670</v>
      </c>
      <c r="B276" s="7" t="s">
        <v>671</v>
      </c>
      <c r="C276" s="6" t="s">
        <v>657</v>
      </c>
      <c r="D276" s="6" t="s">
        <v>641</v>
      </c>
      <c r="E276" s="8" t="s">
        <v>121</v>
      </c>
      <c r="F276" s="10">
        <v>29.740000000000002</v>
      </c>
    </row>
    <row r="277" spans="1:6" ht="24" x14ac:dyDescent="0.25">
      <c r="A277" s="6" t="s">
        <v>672</v>
      </c>
      <c r="B277" s="7" t="s">
        <v>673</v>
      </c>
      <c r="C277" s="6" t="s">
        <v>657</v>
      </c>
      <c r="D277" s="6" t="s">
        <v>641</v>
      </c>
      <c r="E277" s="8" t="s">
        <v>121</v>
      </c>
      <c r="F277" s="10">
        <v>29.740000000000002</v>
      </c>
    </row>
    <row r="278" spans="1:6" ht="20.25" x14ac:dyDescent="0.25">
      <c r="A278" s="2" t="s">
        <v>674</v>
      </c>
      <c r="B278" s="3" t="s">
        <v>675</v>
      </c>
      <c r="C278" s="2" t="s">
        <v>676</v>
      </c>
      <c r="D278" s="2"/>
      <c r="E278" s="2" t="s">
        <v>8</v>
      </c>
      <c r="F278" s="10">
        <v>11.5</v>
      </c>
    </row>
    <row r="279" spans="1:6" ht="20.25" x14ac:dyDescent="0.25">
      <c r="A279" s="4" t="s">
        <v>677</v>
      </c>
      <c r="B279" s="5" t="s">
        <v>678</v>
      </c>
      <c r="C279" s="4" t="s">
        <v>676</v>
      </c>
      <c r="D279" s="4"/>
      <c r="E279" s="4" t="s">
        <v>8</v>
      </c>
      <c r="F279" s="10">
        <v>11.5</v>
      </c>
    </row>
    <row r="280" spans="1:6" ht="24" x14ac:dyDescent="0.25">
      <c r="A280" s="2" t="s">
        <v>679</v>
      </c>
      <c r="B280" s="3" t="s">
        <v>680</v>
      </c>
      <c r="C280" s="2" t="s">
        <v>636</v>
      </c>
      <c r="D280" s="2"/>
      <c r="E280" s="2" t="s">
        <v>8</v>
      </c>
      <c r="F280" s="10">
        <v>24.439999999999998</v>
      </c>
    </row>
    <row r="281" spans="1:6" ht="24" x14ac:dyDescent="0.25">
      <c r="A281" s="4" t="s">
        <v>681</v>
      </c>
      <c r="B281" s="5" t="s">
        <v>682</v>
      </c>
      <c r="C281" s="4" t="s">
        <v>636</v>
      </c>
      <c r="D281" s="4"/>
      <c r="E281" s="4" t="s">
        <v>8</v>
      </c>
      <c r="F281" s="10">
        <v>24.439999999999998</v>
      </c>
    </row>
    <row r="282" spans="1:6" ht="24" x14ac:dyDescent="0.25">
      <c r="A282" s="2" t="s">
        <v>683</v>
      </c>
      <c r="B282" s="3" t="s">
        <v>684</v>
      </c>
      <c r="C282" s="2" t="s">
        <v>636</v>
      </c>
      <c r="D282" s="2"/>
      <c r="E282" s="2" t="s">
        <v>8</v>
      </c>
      <c r="F282" s="10">
        <v>23</v>
      </c>
    </row>
    <row r="283" spans="1:6" ht="24" x14ac:dyDescent="0.25">
      <c r="A283" s="4" t="s">
        <v>685</v>
      </c>
      <c r="B283" s="5" t="s">
        <v>686</v>
      </c>
      <c r="C283" s="4" t="s">
        <v>636</v>
      </c>
      <c r="D283" s="4"/>
      <c r="E283" s="4" t="s">
        <v>8</v>
      </c>
      <c r="F283" s="10">
        <v>23</v>
      </c>
    </row>
    <row r="284" spans="1:6" ht="20.25" x14ac:dyDescent="0.25">
      <c r="A284" s="2" t="s">
        <v>687</v>
      </c>
      <c r="B284" s="3" t="s">
        <v>688</v>
      </c>
      <c r="C284" s="2" t="s">
        <v>689</v>
      </c>
      <c r="D284" s="2"/>
      <c r="E284" s="2" t="s">
        <v>8</v>
      </c>
      <c r="F284" s="10">
        <v>15.8</v>
      </c>
    </row>
    <row r="285" spans="1:6" ht="20.25" x14ac:dyDescent="0.25">
      <c r="A285" s="4" t="s">
        <v>690</v>
      </c>
      <c r="B285" s="5" t="s">
        <v>691</v>
      </c>
      <c r="C285" s="4" t="s">
        <v>689</v>
      </c>
      <c r="D285" s="4"/>
      <c r="E285" s="4" t="s">
        <v>8</v>
      </c>
      <c r="F285" s="10">
        <v>15.8</v>
      </c>
    </row>
    <row r="286" spans="1:6" ht="24" x14ac:dyDescent="0.25">
      <c r="A286" s="2" t="s">
        <v>692</v>
      </c>
      <c r="B286" s="3" t="s">
        <v>693</v>
      </c>
      <c r="C286" s="2" t="s">
        <v>657</v>
      </c>
      <c r="D286" s="2"/>
      <c r="E286" s="2" t="s">
        <v>8</v>
      </c>
      <c r="F286" s="10">
        <v>28.740000000000002</v>
      </c>
    </row>
    <row r="287" spans="1:6" ht="24" x14ac:dyDescent="0.25">
      <c r="A287" s="4" t="s">
        <v>694</v>
      </c>
      <c r="B287" s="5" t="s">
        <v>695</v>
      </c>
      <c r="C287" s="4" t="s">
        <v>657</v>
      </c>
      <c r="D287" s="4"/>
      <c r="E287" s="4" t="s">
        <v>8</v>
      </c>
      <c r="F287" s="10">
        <v>28.740000000000002</v>
      </c>
    </row>
    <row r="288" spans="1:6" ht="24" x14ac:dyDescent="0.25">
      <c r="A288" s="2" t="s">
        <v>696</v>
      </c>
      <c r="B288" s="3" t="s">
        <v>697</v>
      </c>
      <c r="C288" s="2" t="s">
        <v>657</v>
      </c>
      <c r="D288" s="2"/>
      <c r="E288" s="2" t="s">
        <v>8</v>
      </c>
      <c r="F288" s="10">
        <v>27.3</v>
      </c>
    </row>
    <row r="289" spans="1:6" ht="24" x14ac:dyDescent="0.25">
      <c r="A289" s="4" t="s">
        <v>698</v>
      </c>
      <c r="B289" s="5" t="s">
        <v>699</v>
      </c>
      <c r="C289" s="4" t="s">
        <v>657</v>
      </c>
      <c r="D289" s="4"/>
      <c r="E289" s="4" t="s">
        <v>8</v>
      </c>
      <c r="F289" s="10">
        <v>27.3</v>
      </c>
    </row>
    <row r="290" spans="1:6" ht="20.25" x14ac:dyDescent="0.25">
      <c r="A290" s="2" t="s">
        <v>700</v>
      </c>
      <c r="B290" s="3" t="s">
        <v>701</v>
      </c>
      <c r="C290" s="2" t="s">
        <v>702</v>
      </c>
      <c r="D290" s="2"/>
      <c r="E290" s="2" t="s">
        <v>8</v>
      </c>
      <c r="F290" s="10">
        <v>10.5</v>
      </c>
    </row>
    <row r="291" spans="1:6" ht="20.25" x14ac:dyDescent="0.25">
      <c r="A291" s="4" t="s">
        <v>703</v>
      </c>
      <c r="B291" s="5" t="s">
        <v>704</v>
      </c>
      <c r="C291" s="4" t="s">
        <v>702</v>
      </c>
      <c r="D291" s="4"/>
      <c r="E291" s="4" t="s">
        <v>8</v>
      </c>
      <c r="F291" s="10">
        <v>10.5</v>
      </c>
    </row>
    <row r="292" spans="1:6" ht="20.25" x14ac:dyDescent="0.25">
      <c r="A292" s="2" t="s">
        <v>705</v>
      </c>
      <c r="B292" s="3" t="s">
        <v>706</v>
      </c>
      <c r="C292" s="2" t="s">
        <v>702</v>
      </c>
      <c r="D292" s="2"/>
      <c r="E292" s="2" t="s">
        <v>8</v>
      </c>
      <c r="F292" s="10">
        <v>10.5</v>
      </c>
    </row>
    <row r="293" spans="1:6" ht="24" x14ac:dyDescent="0.25">
      <c r="A293" s="6" t="s">
        <v>707</v>
      </c>
      <c r="B293" s="7" t="s">
        <v>708</v>
      </c>
      <c r="C293" s="6" t="s">
        <v>709</v>
      </c>
      <c r="D293" s="6" t="s">
        <v>710</v>
      </c>
      <c r="E293" s="8" t="s">
        <v>121</v>
      </c>
      <c r="F293" s="10">
        <v>24</v>
      </c>
    </row>
    <row r="294" spans="1:6" ht="24" x14ac:dyDescent="0.25">
      <c r="A294" s="6" t="s">
        <v>711</v>
      </c>
      <c r="B294" s="7" t="s">
        <v>712</v>
      </c>
      <c r="C294" s="6" t="s">
        <v>709</v>
      </c>
      <c r="D294" s="6" t="s">
        <v>710</v>
      </c>
      <c r="E294" s="8" t="s">
        <v>121</v>
      </c>
      <c r="F294" s="10">
        <v>24</v>
      </c>
    </row>
    <row r="295" spans="1:6" ht="24" x14ac:dyDescent="0.25">
      <c r="A295" s="6" t="s">
        <v>713</v>
      </c>
      <c r="B295" s="7" t="s">
        <v>714</v>
      </c>
      <c r="C295" s="6" t="s">
        <v>709</v>
      </c>
      <c r="D295" s="6" t="s">
        <v>710</v>
      </c>
      <c r="E295" s="8" t="s">
        <v>121</v>
      </c>
      <c r="F295" s="10">
        <v>24</v>
      </c>
    </row>
    <row r="296" spans="1:6" ht="20.25" x14ac:dyDescent="0.25">
      <c r="A296" s="2" t="s">
        <v>715</v>
      </c>
      <c r="B296" s="3" t="s">
        <v>716</v>
      </c>
      <c r="C296" s="2" t="s">
        <v>717</v>
      </c>
      <c r="D296" s="2"/>
      <c r="E296" s="2" t="s">
        <v>8</v>
      </c>
      <c r="F296" s="10" t="s">
        <v>872</v>
      </c>
    </row>
    <row r="297" spans="1:6" ht="20.25" x14ac:dyDescent="0.25">
      <c r="A297" s="4" t="s">
        <v>718</v>
      </c>
      <c r="B297" s="5" t="s">
        <v>719</v>
      </c>
      <c r="C297" s="4" t="s">
        <v>717</v>
      </c>
      <c r="D297" s="4"/>
      <c r="E297" s="4" t="s">
        <v>8</v>
      </c>
      <c r="F297" s="10" t="s">
        <v>872</v>
      </c>
    </row>
    <row r="298" spans="1:6" ht="20.25" x14ac:dyDescent="0.25">
      <c r="A298" s="2" t="s">
        <v>720</v>
      </c>
      <c r="B298" s="3" t="s">
        <v>721</v>
      </c>
      <c r="C298" s="2" t="s">
        <v>709</v>
      </c>
      <c r="D298" s="2"/>
      <c r="E298" s="2" t="s">
        <v>8</v>
      </c>
      <c r="F298" s="10" t="s">
        <v>872</v>
      </c>
    </row>
    <row r="299" spans="1:6" ht="20.25" x14ac:dyDescent="0.25">
      <c r="A299" s="4" t="s">
        <v>722</v>
      </c>
      <c r="B299" s="5" t="s">
        <v>723</v>
      </c>
      <c r="C299" s="4" t="s">
        <v>709</v>
      </c>
      <c r="D299" s="4"/>
      <c r="E299" s="4" t="s">
        <v>8</v>
      </c>
      <c r="F299" s="10" t="s">
        <v>872</v>
      </c>
    </row>
    <row r="300" spans="1:6" ht="24" x14ac:dyDescent="0.25">
      <c r="A300" s="6" t="s">
        <v>724</v>
      </c>
      <c r="B300" s="7" t="s">
        <v>725</v>
      </c>
      <c r="C300" s="6" t="s">
        <v>709</v>
      </c>
      <c r="D300" s="6" t="s">
        <v>710</v>
      </c>
      <c r="E300" s="8" t="s">
        <v>121</v>
      </c>
      <c r="F300" s="10">
        <v>0.8</v>
      </c>
    </row>
    <row r="301" spans="1:6" ht="24" x14ac:dyDescent="0.25">
      <c r="A301" s="6" t="s">
        <v>726</v>
      </c>
      <c r="B301" s="7" t="s">
        <v>727</v>
      </c>
      <c r="C301" s="6" t="s">
        <v>709</v>
      </c>
      <c r="D301" s="6" t="s">
        <v>710</v>
      </c>
      <c r="E301" s="8" t="s">
        <v>121</v>
      </c>
      <c r="F301" s="10">
        <v>24.8</v>
      </c>
    </row>
    <row r="302" spans="1:6" ht="24" x14ac:dyDescent="0.25">
      <c r="A302" s="6" t="s">
        <v>728</v>
      </c>
      <c r="B302" s="7" t="s">
        <v>729</v>
      </c>
      <c r="C302" s="6" t="s">
        <v>709</v>
      </c>
      <c r="D302" s="6" t="s">
        <v>710</v>
      </c>
      <c r="E302" s="8" t="s">
        <v>121</v>
      </c>
      <c r="F302" s="10">
        <v>24.8</v>
      </c>
    </row>
    <row r="303" spans="1:6" ht="20.25" x14ac:dyDescent="0.25">
      <c r="A303" s="4" t="s">
        <v>730</v>
      </c>
      <c r="B303" s="5" t="s">
        <v>731</v>
      </c>
      <c r="C303" s="4" t="s">
        <v>732</v>
      </c>
      <c r="D303" s="4"/>
      <c r="E303" s="4" t="s">
        <v>8</v>
      </c>
      <c r="F303" s="10" t="s">
        <v>872</v>
      </c>
    </row>
    <row r="304" spans="1:6" ht="20.25" x14ac:dyDescent="0.25">
      <c r="A304" s="2" t="s">
        <v>733</v>
      </c>
      <c r="B304" s="3" t="s">
        <v>734</v>
      </c>
      <c r="C304" s="2" t="s">
        <v>732</v>
      </c>
      <c r="D304" s="2"/>
      <c r="E304" s="2" t="s">
        <v>8</v>
      </c>
      <c r="F304" s="10" t="s">
        <v>872</v>
      </c>
    </row>
    <row r="305" spans="1:6" ht="20.25" x14ac:dyDescent="0.25">
      <c r="A305" s="4" t="s">
        <v>735</v>
      </c>
      <c r="B305" s="5" t="s">
        <v>736</v>
      </c>
      <c r="C305" s="4" t="s">
        <v>737</v>
      </c>
      <c r="D305" s="4"/>
      <c r="E305" s="4" t="s">
        <v>8</v>
      </c>
      <c r="F305" s="10">
        <v>2.4</v>
      </c>
    </row>
    <row r="306" spans="1:6" ht="20.25" x14ac:dyDescent="0.25">
      <c r="A306" s="2" t="s">
        <v>738</v>
      </c>
      <c r="B306" s="3" t="s">
        <v>739</v>
      </c>
      <c r="C306" s="2" t="s">
        <v>740</v>
      </c>
      <c r="D306" s="2"/>
      <c r="E306" s="2" t="s">
        <v>8</v>
      </c>
      <c r="F306" s="10">
        <v>11.2</v>
      </c>
    </row>
    <row r="307" spans="1:6" ht="24" x14ac:dyDescent="0.25">
      <c r="A307" s="4" t="s">
        <v>741</v>
      </c>
      <c r="B307" s="5" t="s">
        <v>742</v>
      </c>
      <c r="C307" s="4" t="s">
        <v>743</v>
      </c>
      <c r="D307" s="4"/>
      <c r="E307" s="4" t="s">
        <v>8</v>
      </c>
      <c r="F307" s="10">
        <v>8.52</v>
      </c>
    </row>
    <row r="308" spans="1:6" ht="24" x14ac:dyDescent="0.25">
      <c r="A308" s="2" t="s">
        <v>744</v>
      </c>
      <c r="B308" s="3" t="s">
        <v>745</v>
      </c>
      <c r="C308" s="2" t="s">
        <v>746</v>
      </c>
      <c r="D308" s="2"/>
      <c r="E308" s="2" t="s">
        <v>8</v>
      </c>
      <c r="F308" s="10">
        <v>20.5</v>
      </c>
    </row>
    <row r="309" spans="1:6" ht="20.25" x14ac:dyDescent="0.25">
      <c r="A309" s="6" t="s">
        <v>747</v>
      </c>
      <c r="B309" s="7" t="s">
        <v>748</v>
      </c>
      <c r="C309" s="6" t="s">
        <v>749</v>
      </c>
      <c r="D309" s="6" t="s">
        <v>750</v>
      </c>
      <c r="E309" s="8" t="s">
        <v>121</v>
      </c>
      <c r="F309" s="10">
        <v>16</v>
      </c>
    </row>
    <row r="310" spans="1:6" ht="20.25" x14ac:dyDescent="0.25">
      <c r="A310" s="6" t="s">
        <v>751</v>
      </c>
      <c r="B310" s="7" t="s">
        <v>752</v>
      </c>
      <c r="C310" s="6" t="s">
        <v>749</v>
      </c>
      <c r="D310" s="6"/>
      <c r="E310" s="4" t="s">
        <v>8</v>
      </c>
      <c r="F310" s="10">
        <v>16</v>
      </c>
    </row>
    <row r="311" spans="1:6" ht="20.25" x14ac:dyDescent="0.25">
      <c r="A311" s="4" t="s">
        <v>753</v>
      </c>
      <c r="B311" s="5" t="s">
        <v>754</v>
      </c>
      <c r="C311" s="4" t="s">
        <v>755</v>
      </c>
      <c r="D311" s="4"/>
      <c r="E311" s="4" t="s">
        <v>8</v>
      </c>
      <c r="F311" s="10">
        <v>87</v>
      </c>
    </row>
    <row r="312" spans="1:6" ht="20.25" x14ac:dyDescent="0.25">
      <c r="A312" s="2" t="s">
        <v>756</v>
      </c>
      <c r="B312" s="3" t="s">
        <v>757</v>
      </c>
      <c r="C312" s="2" t="s">
        <v>758</v>
      </c>
      <c r="D312" s="2"/>
      <c r="E312" s="2" t="s">
        <v>8</v>
      </c>
      <c r="F312" s="10">
        <v>42.5</v>
      </c>
    </row>
    <row r="313" spans="1:6" ht="20.25" x14ac:dyDescent="0.25">
      <c r="A313" s="4" t="s">
        <v>759</v>
      </c>
      <c r="B313" s="5" t="s">
        <v>760</v>
      </c>
      <c r="C313" s="6" t="s">
        <v>866</v>
      </c>
      <c r="D313" s="4"/>
      <c r="E313" s="4" t="s">
        <v>8</v>
      </c>
      <c r="F313" s="10">
        <v>15</v>
      </c>
    </row>
    <row r="314" spans="1:6" ht="20.25" x14ac:dyDescent="0.25">
      <c r="A314" s="2" t="s">
        <v>761</v>
      </c>
      <c r="B314" s="3" t="s">
        <v>762</v>
      </c>
      <c r="C314" s="2" t="s">
        <v>763</v>
      </c>
      <c r="D314" s="2"/>
      <c r="E314" s="2" t="s">
        <v>8</v>
      </c>
      <c r="F314" s="10">
        <v>21.2</v>
      </c>
    </row>
    <row r="315" spans="1:6" ht="24" x14ac:dyDescent="0.25">
      <c r="A315" s="4" t="s">
        <v>764</v>
      </c>
      <c r="B315" s="5" t="s">
        <v>765</v>
      </c>
      <c r="C315" s="4" t="s">
        <v>766</v>
      </c>
      <c r="D315" s="4"/>
      <c r="E315" s="4" t="s">
        <v>8</v>
      </c>
      <c r="F315" s="10" t="s">
        <v>872</v>
      </c>
    </row>
    <row r="316" spans="1:6" ht="24" x14ac:dyDescent="0.25">
      <c r="A316" s="2" t="s">
        <v>767</v>
      </c>
      <c r="B316" s="3" t="s">
        <v>768</v>
      </c>
      <c r="C316" s="2" t="s">
        <v>769</v>
      </c>
      <c r="D316" s="2"/>
      <c r="E316" s="2" t="s">
        <v>8</v>
      </c>
      <c r="F316" s="10" t="s">
        <v>872</v>
      </c>
    </row>
    <row r="317" spans="1:6" ht="24" x14ac:dyDescent="0.25">
      <c r="A317" s="4" t="s">
        <v>770</v>
      </c>
      <c r="B317" s="5" t="s">
        <v>771</v>
      </c>
      <c r="C317" s="4" t="s">
        <v>772</v>
      </c>
      <c r="D317" s="4"/>
      <c r="E317" s="4" t="s">
        <v>8</v>
      </c>
      <c r="F317" s="10" t="s">
        <v>872</v>
      </c>
    </row>
    <row r="318" spans="1:6" ht="24" x14ac:dyDescent="0.25">
      <c r="A318" s="2" t="s">
        <v>773</v>
      </c>
      <c r="B318" s="3" t="s">
        <v>774</v>
      </c>
      <c r="C318" s="2" t="s">
        <v>775</v>
      </c>
      <c r="D318" s="2"/>
      <c r="E318" s="2" t="s">
        <v>8</v>
      </c>
      <c r="F318" s="10" t="s">
        <v>872</v>
      </c>
    </row>
    <row r="319" spans="1:6" ht="20.25" x14ac:dyDescent="0.25">
      <c r="A319" s="6" t="s">
        <v>776</v>
      </c>
      <c r="B319" s="7" t="s">
        <v>777</v>
      </c>
      <c r="C319" s="6" t="s">
        <v>778</v>
      </c>
      <c r="D319" s="6" t="s">
        <v>779</v>
      </c>
      <c r="E319" s="8" t="s">
        <v>121</v>
      </c>
      <c r="F319" s="10">
        <v>16</v>
      </c>
    </row>
    <row r="320" spans="1:6" ht="20.25" x14ac:dyDescent="0.25">
      <c r="A320" s="6" t="s">
        <v>780</v>
      </c>
      <c r="B320" s="7" t="s">
        <v>781</v>
      </c>
      <c r="C320" s="6" t="s">
        <v>782</v>
      </c>
      <c r="D320" s="6" t="s">
        <v>750</v>
      </c>
      <c r="E320" s="8" t="s">
        <v>121</v>
      </c>
      <c r="F320" s="10">
        <v>16</v>
      </c>
    </row>
    <row r="321" spans="1:6" ht="20.25" x14ac:dyDescent="0.25">
      <c r="A321" s="6" t="s">
        <v>783</v>
      </c>
      <c r="B321" s="7" t="s">
        <v>784</v>
      </c>
      <c r="C321" s="6" t="s">
        <v>866</v>
      </c>
      <c r="D321" s="6" t="s">
        <v>750</v>
      </c>
      <c r="E321" s="8" t="s">
        <v>121</v>
      </c>
      <c r="F321" s="10">
        <v>16</v>
      </c>
    </row>
    <row r="322" spans="1:6" ht="24" x14ac:dyDescent="0.25">
      <c r="A322" s="2" t="s">
        <v>785</v>
      </c>
      <c r="B322" s="3" t="s">
        <v>786</v>
      </c>
      <c r="C322" s="2" t="s">
        <v>787</v>
      </c>
      <c r="D322" s="2"/>
      <c r="E322" s="2" t="s">
        <v>8</v>
      </c>
      <c r="F322" s="10">
        <v>15</v>
      </c>
    </row>
    <row r="323" spans="1:6" ht="20.25" x14ac:dyDescent="0.25">
      <c r="A323" s="4" t="s">
        <v>788</v>
      </c>
      <c r="B323" s="5" t="s">
        <v>789</v>
      </c>
      <c r="C323" s="4" t="s">
        <v>790</v>
      </c>
      <c r="D323" s="4"/>
      <c r="E323" s="4" t="s">
        <v>8</v>
      </c>
      <c r="F323" s="10">
        <v>16.850000000000001</v>
      </c>
    </row>
    <row r="324" spans="1:6" ht="20.25" x14ac:dyDescent="0.25">
      <c r="A324" s="6" t="s">
        <v>791</v>
      </c>
      <c r="B324" s="7" t="s">
        <v>792</v>
      </c>
      <c r="C324" s="6" t="s">
        <v>790</v>
      </c>
      <c r="D324" s="6" t="s">
        <v>874</v>
      </c>
      <c r="E324" s="8" t="s">
        <v>121</v>
      </c>
      <c r="F324" s="10">
        <f>F323+0.6</f>
        <v>17.450000000000003</v>
      </c>
    </row>
    <row r="325" spans="1:6" ht="20.25" x14ac:dyDescent="0.25">
      <c r="A325" s="4" t="s">
        <v>793</v>
      </c>
      <c r="B325" s="5" t="s">
        <v>794</v>
      </c>
      <c r="C325" s="4" t="s">
        <v>795</v>
      </c>
      <c r="D325" s="4"/>
      <c r="E325" s="4" t="s">
        <v>8</v>
      </c>
      <c r="F325" s="10">
        <v>19.39</v>
      </c>
    </row>
    <row r="326" spans="1:6" ht="20.25" x14ac:dyDescent="0.25">
      <c r="A326" s="6" t="s">
        <v>796</v>
      </c>
      <c r="B326" s="7" t="s">
        <v>797</v>
      </c>
      <c r="C326" s="6" t="s">
        <v>795</v>
      </c>
      <c r="D326" s="6" t="s">
        <v>874</v>
      </c>
      <c r="E326" s="8" t="s">
        <v>121</v>
      </c>
      <c r="F326" s="10">
        <f>F325+0.6</f>
        <v>19.990000000000002</v>
      </c>
    </row>
    <row r="327" spans="1:6" ht="20.25" x14ac:dyDescent="0.25">
      <c r="A327" s="4" t="s">
        <v>798</v>
      </c>
      <c r="B327" s="5" t="s">
        <v>799</v>
      </c>
      <c r="C327" s="4" t="s">
        <v>800</v>
      </c>
      <c r="D327" s="4"/>
      <c r="E327" s="4" t="s">
        <v>8</v>
      </c>
      <c r="F327" s="10">
        <v>20.75</v>
      </c>
    </row>
    <row r="328" spans="1:6" ht="20.25" x14ac:dyDescent="0.25">
      <c r="A328" s="6" t="s">
        <v>801</v>
      </c>
      <c r="B328" s="7" t="s">
        <v>802</v>
      </c>
      <c r="C328" s="6" t="s">
        <v>800</v>
      </c>
      <c r="D328" s="6" t="s">
        <v>874</v>
      </c>
      <c r="E328" s="8" t="s">
        <v>121</v>
      </c>
      <c r="F328" s="10">
        <f>F327+0.6</f>
        <v>21.35</v>
      </c>
    </row>
    <row r="329" spans="1:6" ht="24" x14ac:dyDescent="0.25">
      <c r="A329" s="4" t="s">
        <v>803</v>
      </c>
      <c r="B329" s="5" t="s">
        <v>804</v>
      </c>
      <c r="C329" s="4" t="s">
        <v>805</v>
      </c>
      <c r="D329" s="4"/>
      <c r="E329" s="4" t="s">
        <v>8</v>
      </c>
      <c r="F329" s="10">
        <v>32</v>
      </c>
    </row>
    <row r="330" spans="1:6" ht="24" x14ac:dyDescent="0.25">
      <c r="A330" s="2" t="s">
        <v>806</v>
      </c>
      <c r="B330" s="3" t="s">
        <v>807</v>
      </c>
      <c r="C330" s="2" t="s">
        <v>808</v>
      </c>
      <c r="D330" s="2"/>
      <c r="E330" s="2" t="s">
        <v>8</v>
      </c>
      <c r="F330" s="10">
        <v>37</v>
      </c>
    </row>
    <row r="331" spans="1:6" ht="24" x14ac:dyDescent="0.25">
      <c r="A331" s="4" t="s">
        <v>809</v>
      </c>
      <c r="B331" s="5" t="s">
        <v>810</v>
      </c>
      <c r="C331" s="4" t="s">
        <v>811</v>
      </c>
      <c r="D331" s="4"/>
      <c r="E331" s="4" t="s">
        <v>8</v>
      </c>
      <c r="F331" s="10">
        <v>32</v>
      </c>
    </row>
    <row r="332" spans="1:6" ht="24" x14ac:dyDescent="0.25">
      <c r="A332" s="2" t="s">
        <v>812</v>
      </c>
      <c r="B332" s="3" t="s">
        <v>813</v>
      </c>
      <c r="C332" s="2" t="s">
        <v>814</v>
      </c>
      <c r="D332" s="2"/>
      <c r="E332" s="2" t="s">
        <v>8</v>
      </c>
      <c r="F332" s="10">
        <v>37</v>
      </c>
    </row>
    <row r="333" spans="1:6" ht="20.25" x14ac:dyDescent="0.25">
      <c r="A333" s="4" t="s">
        <v>815</v>
      </c>
      <c r="B333" s="5" t="s">
        <v>816</v>
      </c>
      <c r="C333" s="4" t="s">
        <v>817</v>
      </c>
      <c r="D333" s="4"/>
      <c r="E333" s="4" t="s">
        <v>8</v>
      </c>
      <c r="F333" s="10">
        <v>25</v>
      </c>
    </row>
    <row r="334" spans="1:6" ht="20.25" x14ac:dyDescent="0.25">
      <c r="A334" s="2" t="s">
        <v>818</v>
      </c>
      <c r="B334" s="3" t="s">
        <v>819</v>
      </c>
      <c r="C334" s="2" t="s">
        <v>820</v>
      </c>
      <c r="D334" s="2"/>
      <c r="E334" s="2" t="s">
        <v>8</v>
      </c>
      <c r="F334" s="10">
        <v>9.5</v>
      </c>
    </row>
    <row r="335" spans="1:6" ht="20.25" x14ac:dyDescent="0.25">
      <c r="A335" s="4" t="s">
        <v>821</v>
      </c>
      <c r="B335" s="5" t="s">
        <v>822</v>
      </c>
      <c r="C335" s="4" t="s">
        <v>820</v>
      </c>
      <c r="D335" s="4"/>
      <c r="E335" s="4" t="s">
        <v>8</v>
      </c>
      <c r="F335" s="10">
        <v>10.5</v>
      </c>
    </row>
    <row r="336" spans="1:6" ht="24" x14ac:dyDescent="0.25">
      <c r="A336" s="2" t="s">
        <v>823</v>
      </c>
      <c r="B336" s="3" t="s">
        <v>824</v>
      </c>
      <c r="C336" s="2" t="s">
        <v>820</v>
      </c>
      <c r="D336" s="2"/>
      <c r="E336" s="2" t="s">
        <v>8</v>
      </c>
      <c r="F336" s="10">
        <v>9.5</v>
      </c>
    </row>
    <row r="337" spans="1:6" ht="24" x14ac:dyDescent="0.25">
      <c r="A337" s="4" t="s">
        <v>825</v>
      </c>
      <c r="B337" s="5" t="s">
        <v>826</v>
      </c>
      <c r="C337" s="4" t="s">
        <v>820</v>
      </c>
      <c r="D337" s="4"/>
      <c r="E337" s="4" t="s">
        <v>8</v>
      </c>
      <c r="F337" s="10">
        <v>10.5</v>
      </c>
    </row>
    <row r="338" spans="1:6" ht="24" x14ac:dyDescent="0.25">
      <c r="A338" s="2" t="s">
        <v>827</v>
      </c>
      <c r="B338" s="3" t="s">
        <v>828</v>
      </c>
      <c r="C338" s="2" t="s">
        <v>829</v>
      </c>
      <c r="D338" s="2"/>
      <c r="E338" s="2" t="s">
        <v>8</v>
      </c>
      <c r="F338" s="10">
        <v>10.5</v>
      </c>
    </row>
    <row r="339" spans="1:6" ht="24" x14ac:dyDescent="0.25">
      <c r="A339" s="4" t="s">
        <v>830</v>
      </c>
      <c r="B339" s="5" t="s">
        <v>831</v>
      </c>
      <c r="C339" s="4" t="s">
        <v>820</v>
      </c>
      <c r="D339" s="4"/>
      <c r="E339" s="4" t="s">
        <v>8</v>
      </c>
      <c r="F339" s="10">
        <v>9.5</v>
      </c>
    </row>
    <row r="340" spans="1:6" ht="24" x14ac:dyDescent="0.25">
      <c r="A340" s="2" t="s">
        <v>832</v>
      </c>
      <c r="B340" s="3" t="s">
        <v>833</v>
      </c>
      <c r="C340" s="2" t="s">
        <v>820</v>
      </c>
      <c r="D340" s="2"/>
      <c r="E340" s="2" t="s">
        <v>8</v>
      </c>
      <c r="F340" s="10">
        <v>10.5</v>
      </c>
    </row>
    <row r="341" spans="1:6" ht="24" x14ac:dyDescent="0.25">
      <c r="A341" s="4" t="s">
        <v>834</v>
      </c>
      <c r="B341" s="5" t="s">
        <v>835</v>
      </c>
      <c r="C341" s="4" t="s">
        <v>820</v>
      </c>
      <c r="D341" s="4"/>
      <c r="E341" s="4" t="s">
        <v>8</v>
      </c>
      <c r="F341" s="10">
        <v>9.5</v>
      </c>
    </row>
    <row r="342" spans="1:6" ht="24" x14ac:dyDescent="0.25">
      <c r="A342" s="2" t="s">
        <v>836</v>
      </c>
      <c r="B342" s="3" t="s">
        <v>837</v>
      </c>
      <c r="C342" s="2" t="s">
        <v>820</v>
      </c>
      <c r="D342" s="2"/>
      <c r="E342" s="2" t="s">
        <v>8</v>
      </c>
      <c r="F342" s="10">
        <v>10.5</v>
      </c>
    </row>
    <row r="343" spans="1:6" ht="24" x14ac:dyDescent="0.25">
      <c r="A343" s="4" t="s">
        <v>838</v>
      </c>
      <c r="B343" s="5" t="s">
        <v>839</v>
      </c>
      <c r="C343" s="4" t="s">
        <v>820</v>
      </c>
      <c r="D343" s="4"/>
      <c r="E343" s="4" t="s">
        <v>8</v>
      </c>
      <c r="F343" s="10">
        <v>9.5</v>
      </c>
    </row>
    <row r="344" spans="1:6" ht="24" x14ac:dyDescent="0.25">
      <c r="A344" s="2" t="s">
        <v>840</v>
      </c>
      <c r="B344" s="3" t="s">
        <v>841</v>
      </c>
      <c r="C344" s="2" t="s">
        <v>820</v>
      </c>
      <c r="D344" s="2"/>
      <c r="E344" s="2" t="s">
        <v>8</v>
      </c>
      <c r="F344" s="10">
        <v>10.5</v>
      </c>
    </row>
    <row r="345" spans="1:6" ht="24" x14ac:dyDescent="0.25">
      <c r="A345" s="4" t="s">
        <v>842</v>
      </c>
      <c r="B345" s="5" t="s">
        <v>843</v>
      </c>
      <c r="C345" s="4" t="s">
        <v>820</v>
      </c>
      <c r="D345" s="4"/>
      <c r="E345" s="4" t="s">
        <v>8</v>
      </c>
      <c r="F345" s="10">
        <v>9.5</v>
      </c>
    </row>
    <row r="346" spans="1:6" ht="24" x14ac:dyDescent="0.25">
      <c r="A346" s="2" t="s">
        <v>844</v>
      </c>
      <c r="B346" s="3" t="s">
        <v>845</v>
      </c>
      <c r="C346" s="2" t="s">
        <v>820</v>
      </c>
      <c r="D346" s="2"/>
      <c r="E346" s="2" t="s">
        <v>8</v>
      </c>
      <c r="F346" s="10">
        <v>10.5</v>
      </c>
    </row>
    <row r="347" spans="1:6" ht="20.25" x14ac:dyDescent="0.25">
      <c r="A347" s="4" t="s">
        <v>846</v>
      </c>
      <c r="B347" s="5" t="s">
        <v>847</v>
      </c>
      <c r="C347" s="4" t="s">
        <v>820</v>
      </c>
      <c r="D347" s="4"/>
      <c r="E347" s="4" t="s">
        <v>8</v>
      </c>
      <c r="F347" s="10">
        <v>10.5</v>
      </c>
    </row>
    <row r="348" spans="1:6" ht="20.25" x14ac:dyDescent="0.25">
      <c r="A348" s="2" t="s">
        <v>848</v>
      </c>
      <c r="B348" s="3" t="s">
        <v>849</v>
      </c>
      <c r="C348" s="2" t="s">
        <v>820</v>
      </c>
      <c r="D348" s="2"/>
      <c r="E348" s="2" t="s">
        <v>8</v>
      </c>
      <c r="F348" s="10">
        <v>9.5</v>
      </c>
    </row>
    <row r="349" spans="1:6" ht="20.25" x14ac:dyDescent="0.25">
      <c r="A349" s="4" t="s">
        <v>346</v>
      </c>
      <c r="B349" s="5" t="s">
        <v>347</v>
      </c>
      <c r="C349" s="4" t="s">
        <v>348</v>
      </c>
      <c r="D349" s="4"/>
      <c r="E349" s="4" t="s">
        <v>8</v>
      </c>
      <c r="F349" s="10">
        <v>1</v>
      </c>
    </row>
    <row r="350" spans="1:6" ht="20.25" x14ac:dyDescent="0.25">
      <c r="A350" s="2" t="s">
        <v>349</v>
      </c>
      <c r="B350" s="3" t="s">
        <v>350</v>
      </c>
      <c r="C350" s="2" t="s">
        <v>351</v>
      </c>
      <c r="D350" s="2"/>
      <c r="E350" s="2" t="s">
        <v>8</v>
      </c>
      <c r="F350" s="10">
        <v>275</v>
      </c>
    </row>
    <row r="351" spans="1:6" ht="20.25" x14ac:dyDescent="0.25">
      <c r="A351" s="4" t="s">
        <v>352</v>
      </c>
      <c r="B351" s="5" t="s">
        <v>353</v>
      </c>
      <c r="C351" s="4" t="s">
        <v>354</v>
      </c>
      <c r="D351" s="4"/>
      <c r="E351" s="4" t="s">
        <v>8</v>
      </c>
      <c r="F351" s="10">
        <v>50</v>
      </c>
    </row>
    <row r="352" spans="1:6" ht="20.25" x14ac:dyDescent="0.25">
      <c r="A352" s="2" t="s">
        <v>355</v>
      </c>
      <c r="B352" s="3" t="s">
        <v>356</v>
      </c>
      <c r="C352" s="2" t="s">
        <v>357</v>
      </c>
      <c r="D352" s="2"/>
      <c r="E352" s="2" t="s">
        <v>8</v>
      </c>
      <c r="F352" s="10">
        <v>0.6</v>
      </c>
    </row>
    <row r="353" spans="1:6" ht="20.25" x14ac:dyDescent="0.25">
      <c r="A353" s="4" t="s">
        <v>850</v>
      </c>
      <c r="B353" s="5" t="s">
        <v>851</v>
      </c>
      <c r="C353" s="4" t="s">
        <v>852</v>
      </c>
      <c r="D353" s="4"/>
      <c r="E353" s="4" t="s">
        <v>8</v>
      </c>
      <c r="F353" s="10">
        <v>13.49</v>
      </c>
    </row>
    <row r="354" spans="1:6" ht="20.25" x14ac:dyDescent="0.25">
      <c r="A354" s="2" t="s">
        <v>853</v>
      </c>
      <c r="B354" s="3" t="s">
        <v>854</v>
      </c>
      <c r="C354" s="2" t="s">
        <v>855</v>
      </c>
      <c r="D354" s="2"/>
      <c r="E354" s="2" t="s">
        <v>8</v>
      </c>
      <c r="F354" s="10">
        <v>7.2</v>
      </c>
    </row>
    <row r="355" spans="1:6" ht="20.25" x14ac:dyDescent="0.25">
      <c r="A355" s="4" t="s">
        <v>856</v>
      </c>
      <c r="B355" s="5" t="s">
        <v>857</v>
      </c>
      <c r="C355" s="4" t="s">
        <v>829</v>
      </c>
      <c r="D355" s="4"/>
      <c r="E355" s="4" t="s">
        <v>8</v>
      </c>
      <c r="F355" s="10">
        <v>6.5</v>
      </c>
    </row>
    <row r="356" spans="1:6" ht="20.25" x14ac:dyDescent="0.25">
      <c r="A356" s="2" t="s">
        <v>858</v>
      </c>
      <c r="B356" s="3" t="s">
        <v>859</v>
      </c>
      <c r="C356" s="2" t="s">
        <v>860</v>
      </c>
      <c r="D356" s="2"/>
      <c r="E356" s="2" t="s">
        <v>8</v>
      </c>
      <c r="F356" s="10">
        <v>6</v>
      </c>
    </row>
    <row r="357" spans="1:6" ht="20.25" x14ac:dyDescent="0.25">
      <c r="A357" s="4" t="s">
        <v>861</v>
      </c>
      <c r="B357" s="5" t="s">
        <v>862</v>
      </c>
      <c r="C357" s="4" t="s">
        <v>863</v>
      </c>
      <c r="D357" s="4"/>
      <c r="E357" s="4" t="s">
        <v>8</v>
      </c>
      <c r="F357" s="10">
        <v>29</v>
      </c>
    </row>
    <row r="358" spans="1:6" ht="20.25" x14ac:dyDescent="0.25">
      <c r="A358" s="2" t="s">
        <v>864</v>
      </c>
      <c r="B358" s="3" t="s">
        <v>865</v>
      </c>
      <c r="C358" s="2" t="s">
        <v>863</v>
      </c>
      <c r="D358" s="2"/>
      <c r="E358" s="2" t="s">
        <v>8</v>
      </c>
      <c r="F358" s="10">
        <v>30</v>
      </c>
    </row>
  </sheetData>
  <mergeCells count="2">
    <mergeCell ref="F36:F38"/>
    <mergeCell ref="F130:F1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65" customWidth="1"/>
    <col min="3" max="4" width="35" customWidth="1"/>
  </cols>
  <sheetData>
    <row r="1" spans="1:4" ht="24.95" customHeight="1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2" t="s">
        <v>117</v>
      </c>
      <c r="B2" s="3" t="s">
        <v>118</v>
      </c>
      <c r="C2" s="2" t="s">
        <v>119</v>
      </c>
      <c r="D2" s="2" t="s">
        <v>120</v>
      </c>
    </row>
    <row r="3" spans="1:4" x14ac:dyDescent="0.25">
      <c r="A3" s="4" t="s">
        <v>122</v>
      </c>
      <c r="B3" s="5" t="s">
        <v>123</v>
      </c>
      <c r="C3" s="4" t="s">
        <v>124</v>
      </c>
      <c r="D3" s="4" t="s">
        <v>120</v>
      </c>
    </row>
    <row r="4" spans="1:4" x14ac:dyDescent="0.25">
      <c r="A4" s="2" t="s">
        <v>125</v>
      </c>
      <c r="B4" s="3" t="s">
        <v>126</v>
      </c>
      <c r="C4" s="2" t="s">
        <v>127</v>
      </c>
      <c r="D4" s="2" t="s">
        <v>120</v>
      </c>
    </row>
    <row r="5" spans="1:4" x14ac:dyDescent="0.25">
      <c r="A5" s="4" t="s">
        <v>128</v>
      </c>
      <c r="B5" s="5" t="s">
        <v>129</v>
      </c>
      <c r="C5" s="4" t="s">
        <v>130</v>
      </c>
      <c r="D5" s="4" t="s">
        <v>120</v>
      </c>
    </row>
    <row r="6" spans="1:4" x14ac:dyDescent="0.25">
      <c r="A6" s="2" t="s">
        <v>131</v>
      </c>
      <c r="B6" s="3" t="s">
        <v>132</v>
      </c>
      <c r="C6" s="2" t="s">
        <v>127</v>
      </c>
      <c r="D6" s="2" t="s">
        <v>120</v>
      </c>
    </row>
    <row r="7" spans="1:4" x14ac:dyDescent="0.25">
      <c r="A7" s="4" t="s">
        <v>133</v>
      </c>
      <c r="B7" s="5" t="s">
        <v>134</v>
      </c>
      <c r="C7" s="4" t="s">
        <v>130</v>
      </c>
      <c r="D7" s="4" t="s">
        <v>120</v>
      </c>
    </row>
    <row r="8" spans="1:4" x14ac:dyDescent="0.25">
      <c r="A8" s="2" t="s">
        <v>135</v>
      </c>
      <c r="B8" s="3" t="s">
        <v>136</v>
      </c>
      <c r="C8" s="2" t="s">
        <v>137</v>
      </c>
      <c r="D8" s="2" t="s">
        <v>120</v>
      </c>
    </row>
    <row r="9" spans="1:4" x14ac:dyDescent="0.25">
      <c r="A9" s="4" t="s">
        <v>138</v>
      </c>
      <c r="B9" s="5" t="s">
        <v>139</v>
      </c>
      <c r="C9" s="4" t="s">
        <v>140</v>
      </c>
      <c r="D9" s="4" t="s">
        <v>120</v>
      </c>
    </row>
    <row r="10" spans="1:4" x14ac:dyDescent="0.25">
      <c r="A10" s="2" t="s">
        <v>141</v>
      </c>
      <c r="B10" s="3" t="s">
        <v>142</v>
      </c>
      <c r="C10" s="2" t="s">
        <v>127</v>
      </c>
      <c r="D10" s="2" t="s">
        <v>120</v>
      </c>
    </row>
    <row r="11" spans="1:4" x14ac:dyDescent="0.25">
      <c r="A11" s="4" t="s">
        <v>143</v>
      </c>
      <c r="B11" s="5" t="s">
        <v>144</v>
      </c>
      <c r="C11" s="4" t="s">
        <v>130</v>
      </c>
      <c r="D11" s="4" t="s">
        <v>120</v>
      </c>
    </row>
    <row r="12" spans="1:4" x14ac:dyDescent="0.25">
      <c r="A12" s="2" t="s">
        <v>145</v>
      </c>
      <c r="B12" s="3" t="s">
        <v>146</v>
      </c>
      <c r="C12" s="2" t="s">
        <v>147</v>
      </c>
      <c r="D12" s="2" t="s">
        <v>120</v>
      </c>
    </row>
    <row r="13" spans="1:4" x14ac:dyDescent="0.25">
      <c r="A13" s="4" t="s">
        <v>148</v>
      </c>
      <c r="B13" s="5" t="s">
        <v>149</v>
      </c>
      <c r="C13" s="4" t="s">
        <v>150</v>
      </c>
      <c r="D13" s="4" t="s">
        <v>120</v>
      </c>
    </row>
    <row r="14" spans="1:4" x14ac:dyDescent="0.25">
      <c r="A14" s="2" t="s">
        <v>151</v>
      </c>
      <c r="B14" s="3" t="s">
        <v>152</v>
      </c>
      <c r="C14" s="2" t="s">
        <v>153</v>
      </c>
      <c r="D14" s="2" t="s">
        <v>120</v>
      </c>
    </row>
    <row r="15" spans="1:4" x14ac:dyDescent="0.25">
      <c r="A15" s="4" t="s">
        <v>154</v>
      </c>
      <c r="B15" s="5" t="s">
        <v>155</v>
      </c>
      <c r="C15" s="4" t="s">
        <v>156</v>
      </c>
      <c r="D15" s="4" t="s">
        <v>120</v>
      </c>
    </row>
    <row r="16" spans="1:4" x14ac:dyDescent="0.25">
      <c r="A16" s="2" t="s">
        <v>157</v>
      </c>
      <c r="B16" s="3" t="s">
        <v>158</v>
      </c>
      <c r="C16" s="2" t="s">
        <v>159</v>
      </c>
      <c r="D16" s="2" t="s">
        <v>120</v>
      </c>
    </row>
    <row r="17" spans="1:4" x14ac:dyDescent="0.25">
      <c r="A17" s="4" t="s">
        <v>160</v>
      </c>
      <c r="B17" s="5" t="s">
        <v>161</v>
      </c>
      <c r="C17" s="4" t="s">
        <v>162</v>
      </c>
      <c r="D17" s="4" t="s">
        <v>120</v>
      </c>
    </row>
    <row r="18" spans="1:4" x14ac:dyDescent="0.25">
      <c r="A18" s="2" t="s">
        <v>163</v>
      </c>
      <c r="B18" s="3" t="s">
        <v>164</v>
      </c>
      <c r="C18" s="2" t="s">
        <v>165</v>
      </c>
      <c r="D18" s="2" t="s">
        <v>120</v>
      </c>
    </row>
    <row r="19" spans="1:4" x14ac:dyDescent="0.25">
      <c r="A19" s="4" t="s">
        <v>166</v>
      </c>
      <c r="B19" s="5" t="s">
        <v>167</v>
      </c>
      <c r="C19" s="4" t="s">
        <v>168</v>
      </c>
      <c r="D19" s="4" t="s">
        <v>120</v>
      </c>
    </row>
    <row r="20" spans="1:4" x14ac:dyDescent="0.25">
      <c r="A20" s="2" t="s">
        <v>169</v>
      </c>
      <c r="B20" s="3" t="s">
        <v>170</v>
      </c>
      <c r="C20" s="2" t="s">
        <v>171</v>
      </c>
      <c r="D20" s="2" t="s">
        <v>120</v>
      </c>
    </row>
    <row r="21" spans="1:4" x14ac:dyDescent="0.25">
      <c r="A21" s="4" t="s">
        <v>172</v>
      </c>
      <c r="B21" s="5" t="s">
        <v>173</v>
      </c>
      <c r="C21" s="4" t="s">
        <v>174</v>
      </c>
      <c r="D21" s="4" t="s">
        <v>120</v>
      </c>
    </row>
    <row r="22" spans="1:4" x14ac:dyDescent="0.25">
      <c r="A22" s="2" t="s">
        <v>175</v>
      </c>
      <c r="B22" s="3" t="s">
        <v>176</v>
      </c>
      <c r="C22" s="2" t="s">
        <v>177</v>
      </c>
      <c r="D22" s="2" t="s">
        <v>120</v>
      </c>
    </row>
    <row r="23" spans="1:4" x14ac:dyDescent="0.25">
      <c r="A23" s="4" t="s">
        <v>178</v>
      </c>
      <c r="B23" s="5" t="s">
        <v>179</v>
      </c>
      <c r="C23" s="4" t="s">
        <v>174</v>
      </c>
      <c r="D23" s="4" t="s">
        <v>120</v>
      </c>
    </row>
    <row r="24" spans="1:4" x14ac:dyDescent="0.25">
      <c r="A24" s="2" t="s">
        <v>180</v>
      </c>
      <c r="B24" s="3" t="s">
        <v>181</v>
      </c>
      <c r="C24" s="2" t="s">
        <v>182</v>
      </c>
      <c r="D24" s="2" t="s">
        <v>120</v>
      </c>
    </row>
    <row r="25" spans="1:4" x14ac:dyDescent="0.25">
      <c r="A25" s="4" t="s">
        <v>183</v>
      </c>
      <c r="B25" s="5" t="s">
        <v>184</v>
      </c>
      <c r="C25" s="4" t="s">
        <v>185</v>
      </c>
      <c r="D25" s="4" t="s">
        <v>120</v>
      </c>
    </row>
    <row r="26" spans="1:4" x14ac:dyDescent="0.25">
      <c r="A26" s="2" t="s">
        <v>186</v>
      </c>
      <c r="B26" s="3" t="s">
        <v>187</v>
      </c>
      <c r="C26" s="2" t="s">
        <v>182</v>
      </c>
      <c r="D26" s="2" t="s">
        <v>120</v>
      </c>
    </row>
    <row r="27" spans="1:4" x14ac:dyDescent="0.25">
      <c r="A27" s="4" t="s">
        <v>188</v>
      </c>
      <c r="B27" s="5" t="s">
        <v>189</v>
      </c>
      <c r="C27" s="4" t="s">
        <v>190</v>
      </c>
      <c r="D27" s="4" t="s">
        <v>120</v>
      </c>
    </row>
    <row r="28" spans="1:4" x14ac:dyDescent="0.25">
      <c r="A28" s="2" t="s">
        <v>191</v>
      </c>
      <c r="B28" s="3" t="s">
        <v>192</v>
      </c>
      <c r="C28" s="2" t="s">
        <v>193</v>
      </c>
      <c r="D28" s="2" t="s">
        <v>120</v>
      </c>
    </row>
    <row r="29" spans="1:4" x14ac:dyDescent="0.25">
      <c r="A29" s="4" t="s">
        <v>198</v>
      </c>
      <c r="B29" s="5" t="s">
        <v>199</v>
      </c>
      <c r="C29" s="4" t="s">
        <v>200</v>
      </c>
      <c r="D29" s="4" t="s">
        <v>120</v>
      </c>
    </row>
    <row r="30" spans="1:4" x14ac:dyDescent="0.25">
      <c r="A30" s="2" t="s">
        <v>201</v>
      </c>
      <c r="B30" s="3" t="s">
        <v>202</v>
      </c>
      <c r="C30" s="2" t="s">
        <v>203</v>
      </c>
      <c r="D30" s="2" t="s">
        <v>120</v>
      </c>
    </row>
    <row r="31" spans="1:4" x14ac:dyDescent="0.25">
      <c r="A31" s="4" t="s">
        <v>204</v>
      </c>
      <c r="B31" s="5" t="s">
        <v>205</v>
      </c>
      <c r="C31" s="4" t="s">
        <v>206</v>
      </c>
      <c r="D31" s="4" t="s">
        <v>120</v>
      </c>
    </row>
    <row r="32" spans="1:4" x14ac:dyDescent="0.25">
      <c r="A32" s="2" t="s">
        <v>209</v>
      </c>
      <c r="B32" s="3" t="s">
        <v>210</v>
      </c>
      <c r="C32" s="2" t="s">
        <v>211</v>
      </c>
      <c r="D32" s="2" t="s">
        <v>120</v>
      </c>
    </row>
    <row r="33" spans="1:4" x14ac:dyDescent="0.25">
      <c r="A33" s="4" t="s">
        <v>338</v>
      </c>
      <c r="B33" s="5" t="s">
        <v>339</v>
      </c>
      <c r="C33" s="4" t="s">
        <v>340</v>
      </c>
      <c r="D33" s="4" t="s">
        <v>120</v>
      </c>
    </row>
    <row r="34" spans="1:4" x14ac:dyDescent="0.25">
      <c r="A34" s="2" t="s">
        <v>375</v>
      </c>
      <c r="B34" s="3" t="s">
        <v>376</v>
      </c>
      <c r="C34" s="2" t="s">
        <v>377</v>
      </c>
      <c r="D34" s="2" t="s">
        <v>378</v>
      </c>
    </row>
    <row r="35" spans="1:4" x14ac:dyDescent="0.25">
      <c r="A35" s="4" t="s">
        <v>379</v>
      </c>
      <c r="B35" s="5" t="s">
        <v>380</v>
      </c>
      <c r="C35" s="4" t="s">
        <v>377</v>
      </c>
      <c r="D35" s="4" t="s">
        <v>381</v>
      </c>
    </row>
    <row r="36" spans="1:4" ht="24" x14ac:dyDescent="0.25">
      <c r="A36" s="2" t="s">
        <v>639</v>
      </c>
      <c r="B36" s="3" t="s">
        <v>640</v>
      </c>
      <c r="C36" s="2" t="s">
        <v>636</v>
      </c>
      <c r="D36" s="2" t="s">
        <v>641</v>
      </c>
    </row>
    <row r="37" spans="1:4" ht="24" x14ac:dyDescent="0.25">
      <c r="A37" s="4" t="s">
        <v>642</v>
      </c>
      <c r="B37" s="5" t="s">
        <v>643</v>
      </c>
      <c r="C37" s="4" t="s">
        <v>636</v>
      </c>
      <c r="D37" s="4" t="s">
        <v>641</v>
      </c>
    </row>
    <row r="38" spans="1:4" ht="24" x14ac:dyDescent="0.25">
      <c r="A38" s="2" t="s">
        <v>644</v>
      </c>
      <c r="B38" s="3" t="s">
        <v>645</v>
      </c>
      <c r="C38" s="2" t="s">
        <v>636</v>
      </c>
      <c r="D38" s="2" t="s">
        <v>641</v>
      </c>
    </row>
    <row r="39" spans="1:4" ht="24" x14ac:dyDescent="0.25">
      <c r="A39" s="4" t="s">
        <v>648</v>
      </c>
      <c r="B39" s="5" t="s">
        <v>649</v>
      </c>
      <c r="C39" s="4" t="s">
        <v>636</v>
      </c>
      <c r="D39" s="4" t="s">
        <v>650</v>
      </c>
    </row>
    <row r="40" spans="1:4" ht="24" x14ac:dyDescent="0.25">
      <c r="A40" s="2" t="s">
        <v>651</v>
      </c>
      <c r="B40" s="3" t="s">
        <v>652</v>
      </c>
      <c r="C40" s="2" t="s">
        <v>636</v>
      </c>
      <c r="D40" s="2" t="s">
        <v>650</v>
      </c>
    </row>
    <row r="41" spans="1:4" ht="24" x14ac:dyDescent="0.25">
      <c r="A41" s="4" t="s">
        <v>653</v>
      </c>
      <c r="B41" s="5" t="s">
        <v>654</v>
      </c>
      <c r="C41" s="4" t="s">
        <v>636</v>
      </c>
      <c r="D41" s="4" t="s">
        <v>650</v>
      </c>
    </row>
    <row r="42" spans="1:4" ht="24" x14ac:dyDescent="0.25">
      <c r="A42" s="2" t="s">
        <v>662</v>
      </c>
      <c r="B42" s="3" t="s">
        <v>663</v>
      </c>
      <c r="C42" s="2" t="s">
        <v>657</v>
      </c>
      <c r="D42" s="2" t="s">
        <v>650</v>
      </c>
    </row>
    <row r="43" spans="1:4" ht="24" x14ac:dyDescent="0.25">
      <c r="A43" s="4" t="s">
        <v>664</v>
      </c>
      <c r="B43" s="5" t="s">
        <v>665</v>
      </c>
      <c r="C43" s="4" t="s">
        <v>657</v>
      </c>
      <c r="D43" s="4" t="s">
        <v>650</v>
      </c>
    </row>
    <row r="44" spans="1:4" ht="24" x14ac:dyDescent="0.25">
      <c r="A44" s="2" t="s">
        <v>666</v>
      </c>
      <c r="B44" s="3" t="s">
        <v>667</v>
      </c>
      <c r="C44" s="2" t="s">
        <v>657</v>
      </c>
      <c r="D44" s="2" t="s">
        <v>650</v>
      </c>
    </row>
    <row r="45" spans="1:4" ht="24" x14ac:dyDescent="0.25">
      <c r="A45" s="4" t="s">
        <v>668</v>
      </c>
      <c r="B45" s="5" t="s">
        <v>669</v>
      </c>
      <c r="C45" s="4" t="s">
        <v>657</v>
      </c>
      <c r="D45" s="4" t="s">
        <v>641</v>
      </c>
    </row>
    <row r="46" spans="1:4" ht="24" x14ac:dyDescent="0.25">
      <c r="A46" s="2" t="s">
        <v>670</v>
      </c>
      <c r="B46" s="3" t="s">
        <v>671</v>
      </c>
      <c r="C46" s="2" t="s">
        <v>657</v>
      </c>
      <c r="D46" s="2" t="s">
        <v>641</v>
      </c>
    </row>
    <row r="47" spans="1:4" ht="24" x14ac:dyDescent="0.25">
      <c r="A47" s="4" t="s">
        <v>672</v>
      </c>
      <c r="B47" s="5" t="s">
        <v>673</v>
      </c>
      <c r="C47" s="4" t="s">
        <v>657</v>
      </c>
      <c r="D47" s="4" t="s">
        <v>641</v>
      </c>
    </row>
    <row r="48" spans="1:4" ht="24" x14ac:dyDescent="0.25">
      <c r="A48" s="2" t="s">
        <v>707</v>
      </c>
      <c r="B48" s="3" t="s">
        <v>708</v>
      </c>
      <c r="C48" s="2" t="s">
        <v>709</v>
      </c>
      <c r="D48" s="2" t="s">
        <v>710</v>
      </c>
    </row>
    <row r="49" spans="1:4" x14ac:dyDescent="0.25">
      <c r="A49" s="4" t="s">
        <v>711</v>
      </c>
      <c r="B49" s="5" t="s">
        <v>712</v>
      </c>
      <c r="C49" s="4" t="s">
        <v>709</v>
      </c>
      <c r="D49" s="4" t="s">
        <v>710</v>
      </c>
    </row>
    <row r="50" spans="1:4" x14ac:dyDescent="0.25">
      <c r="A50" s="2" t="s">
        <v>713</v>
      </c>
      <c r="B50" s="3" t="s">
        <v>714</v>
      </c>
      <c r="C50" s="2" t="s">
        <v>709</v>
      </c>
      <c r="D50" s="2" t="s">
        <v>710</v>
      </c>
    </row>
    <row r="51" spans="1:4" ht="24" x14ac:dyDescent="0.25">
      <c r="A51" s="4" t="s">
        <v>724</v>
      </c>
      <c r="B51" s="5" t="s">
        <v>725</v>
      </c>
      <c r="C51" s="4" t="s">
        <v>709</v>
      </c>
      <c r="D51" s="4" t="s">
        <v>710</v>
      </c>
    </row>
    <row r="52" spans="1:4" x14ac:dyDescent="0.25">
      <c r="A52" s="2" t="s">
        <v>726</v>
      </c>
      <c r="B52" s="3" t="s">
        <v>727</v>
      </c>
      <c r="C52" s="2" t="s">
        <v>709</v>
      </c>
      <c r="D52" s="2" t="s">
        <v>710</v>
      </c>
    </row>
    <row r="53" spans="1:4" x14ac:dyDescent="0.25">
      <c r="A53" s="4" t="s">
        <v>728</v>
      </c>
      <c r="B53" s="5" t="s">
        <v>729</v>
      </c>
      <c r="C53" s="4" t="s">
        <v>709</v>
      </c>
      <c r="D53" s="4" t="s">
        <v>710</v>
      </c>
    </row>
    <row r="54" spans="1:4" x14ac:dyDescent="0.25">
      <c r="A54" s="2" t="s">
        <v>747</v>
      </c>
      <c r="B54" s="3" t="s">
        <v>748</v>
      </c>
      <c r="C54" s="2" t="s">
        <v>749</v>
      </c>
      <c r="D54" s="2" t="s">
        <v>750</v>
      </c>
    </row>
    <row r="55" spans="1:4" x14ac:dyDescent="0.25">
      <c r="A55" s="4" t="s">
        <v>751</v>
      </c>
      <c r="B55" s="5" t="s">
        <v>752</v>
      </c>
      <c r="C55" s="4" t="s">
        <v>749</v>
      </c>
      <c r="D55" s="4" t="s">
        <v>750</v>
      </c>
    </row>
    <row r="56" spans="1:4" x14ac:dyDescent="0.25">
      <c r="A56" s="2" t="s">
        <v>776</v>
      </c>
      <c r="B56" s="3" t="s">
        <v>777</v>
      </c>
      <c r="C56" s="2" t="s">
        <v>778</v>
      </c>
      <c r="D56" s="2" t="s">
        <v>779</v>
      </c>
    </row>
    <row r="57" spans="1:4" x14ac:dyDescent="0.25">
      <c r="A57" s="4" t="s">
        <v>780</v>
      </c>
      <c r="B57" s="5" t="s">
        <v>781</v>
      </c>
      <c r="C57" s="4" t="s">
        <v>782</v>
      </c>
      <c r="D57" s="4" t="s">
        <v>750</v>
      </c>
    </row>
    <row r="58" spans="1:4" x14ac:dyDescent="0.25">
      <c r="A58" s="2" t="s">
        <v>783</v>
      </c>
      <c r="B58" s="3" t="s">
        <v>784</v>
      </c>
      <c r="C58" s="2" t="s">
        <v>749</v>
      </c>
      <c r="D58" s="2" t="s">
        <v>750</v>
      </c>
    </row>
    <row r="59" spans="1:4" x14ac:dyDescent="0.25">
      <c r="A59" s="4" t="s">
        <v>791</v>
      </c>
      <c r="B59" s="5" t="s">
        <v>792</v>
      </c>
      <c r="C59" s="4" t="s">
        <v>790</v>
      </c>
      <c r="D59" s="4" t="s">
        <v>120</v>
      </c>
    </row>
    <row r="60" spans="1:4" x14ac:dyDescent="0.25">
      <c r="A60" s="2" t="s">
        <v>796</v>
      </c>
      <c r="B60" s="3" t="s">
        <v>797</v>
      </c>
      <c r="C60" s="2" t="s">
        <v>795</v>
      </c>
      <c r="D60" s="2" t="s">
        <v>120</v>
      </c>
    </row>
    <row r="61" spans="1:4" x14ac:dyDescent="0.25">
      <c r="A61" s="4" t="s">
        <v>801</v>
      </c>
      <c r="B61" s="5" t="s">
        <v>802</v>
      </c>
      <c r="C61" s="4" t="s">
        <v>800</v>
      </c>
      <c r="D61" s="4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Equivalences Prozon-EHS</vt:lpstr>
      <vt:lpstr>Combinaisons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</cp:lastModifiedBy>
  <dcterms:created xsi:type="dcterms:W3CDTF">2026-03-26T14:03:30Z</dcterms:created>
  <dcterms:modified xsi:type="dcterms:W3CDTF">2026-03-26T14:42:40Z</dcterms:modified>
</cp:coreProperties>
</file>